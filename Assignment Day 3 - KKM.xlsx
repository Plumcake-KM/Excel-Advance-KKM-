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Work\EXCEL - EDGE PLUS\"/>
    </mc:Choice>
  </mc:AlternateContent>
  <xr:revisionPtr revIDLastSave="0" documentId="13_ncr:1_{EC883787-B9B2-471A-BBE1-86E54E279C35}" xr6:coauthVersionLast="47" xr6:coauthVersionMax="47" xr10:uidLastSave="{00000000-0000-0000-0000-000000000000}"/>
  <bookViews>
    <workbookView xWindow="-120" yWindow="-120" windowWidth="20730" windowHeight="11040" xr2:uid="{1BC00368-16FE-43C4-9779-2AB18BE4B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" i="1" l="1"/>
  <c r="BQ5" i="1"/>
  <c r="BQ6" i="1"/>
  <c r="BQ7" i="1"/>
  <c r="BQ8" i="1"/>
  <c r="BQ3" i="1"/>
  <c r="BM4" i="1"/>
  <c r="BM5" i="1"/>
  <c r="BM6" i="1"/>
  <c r="BM7" i="1"/>
  <c r="BM8" i="1"/>
  <c r="BM9" i="1"/>
  <c r="BM10" i="1"/>
  <c r="BM11" i="1"/>
  <c r="BM3" i="1"/>
  <c r="AY4" i="1"/>
  <c r="AY2" i="1"/>
  <c r="M29" i="1"/>
  <c r="M28" i="1"/>
  <c r="M26" i="1"/>
  <c r="M25" i="1"/>
  <c r="M24" i="1"/>
  <c r="M22" i="1"/>
  <c r="M21" i="1"/>
  <c r="M20" i="1"/>
  <c r="M18" i="1"/>
  <c r="M17" i="1"/>
  <c r="M16" i="1"/>
  <c r="M14" i="1"/>
  <c r="M13" i="1"/>
  <c r="M12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<sst xmlns="http://schemas.openxmlformats.org/spreadsheetml/2006/main" count="8804" uniqueCount="143">
  <si>
    <t xml:space="preserve">ID </t>
  </si>
  <si>
    <t>ID - 001 - 10001</t>
  </si>
  <si>
    <t>ID - 002 - 10002</t>
  </si>
  <si>
    <t>ID - 003 - 10003</t>
  </si>
  <si>
    <t>ID - 004 - 10004</t>
  </si>
  <si>
    <t>ID - 005 - 10005</t>
  </si>
  <si>
    <t>ID - 006 - 10006</t>
  </si>
  <si>
    <t>ID</t>
  </si>
  <si>
    <t>Using text to column converter</t>
  </si>
  <si>
    <t xml:space="preserve">Using Delimiter </t>
  </si>
  <si>
    <t xml:space="preserve">Date Validation </t>
  </si>
  <si>
    <t>Enter Phone Number :</t>
  </si>
  <si>
    <t>Enter Age :</t>
  </si>
  <si>
    <t>Text Validation :</t>
  </si>
  <si>
    <t xml:space="preserve">Upper </t>
  </si>
  <si>
    <t>Lower</t>
  </si>
  <si>
    <t>Proper</t>
  </si>
  <si>
    <t>Left</t>
  </si>
  <si>
    <t>Right</t>
  </si>
  <si>
    <t>Mid</t>
  </si>
  <si>
    <t>Char</t>
  </si>
  <si>
    <t>Code</t>
  </si>
  <si>
    <t>Unichar</t>
  </si>
  <si>
    <t xml:space="preserve">Textjoin </t>
  </si>
  <si>
    <t xml:space="preserve">Concat </t>
  </si>
  <si>
    <t xml:space="preserve">Repeat </t>
  </si>
  <si>
    <t xml:space="preserve">Exact </t>
  </si>
  <si>
    <t>Trim</t>
  </si>
  <si>
    <t xml:space="preserve">Substitute </t>
  </si>
  <si>
    <t xml:space="preserve">Cell reference </t>
  </si>
  <si>
    <t>Economics</t>
  </si>
  <si>
    <t>Department</t>
  </si>
  <si>
    <t>ABC - 01 - 001</t>
  </si>
  <si>
    <t>hi       how       are      you</t>
  </si>
  <si>
    <t>student_id</t>
  </si>
  <si>
    <t>school</t>
  </si>
  <si>
    <t>sex</t>
  </si>
  <si>
    <t>age</t>
  </si>
  <si>
    <t>address_type</t>
  </si>
  <si>
    <t>family_size</t>
  </si>
  <si>
    <t>parent_status</t>
  </si>
  <si>
    <t>mother_education</t>
  </si>
  <si>
    <t>father_education</t>
  </si>
  <si>
    <t>mother_job</t>
  </si>
  <si>
    <t>father_job</t>
  </si>
  <si>
    <t>school_choice_reason</t>
  </si>
  <si>
    <t>guardian</t>
  </si>
  <si>
    <t>travel_time</t>
  </si>
  <si>
    <t>study_time</t>
  </si>
  <si>
    <t>class_failures</t>
  </si>
  <si>
    <t>school_support</t>
  </si>
  <si>
    <t>family_support</t>
  </si>
  <si>
    <t>extra_paid_classes</t>
  </si>
  <si>
    <t>activities</t>
  </si>
  <si>
    <t>nursery_school</t>
  </si>
  <si>
    <t>higher_ed</t>
  </si>
  <si>
    <t>internet_access</t>
  </si>
  <si>
    <t>romantic_relationship</t>
  </si>
  <si>
    <t>family_relationship</t>
  </si>
  <si>
    <t>free_time</t>
  </si>
  <si>
    <t>social</t>
  </si>
  <si>
    <t>weekday_alcohol</t>
  </si>
  <si>
    <t>weekend_alcohol</t>
  </si>
  <si>
    <t>health</t>
  </si>
  <si>
    <t>absences</t>
  </si>
  <si>
    <t>grade_1</t>
  </si>
  <si>
    <t>grade_2</t>
  </si>
  <si>
    <t>final_grade</t>
  </si>
  <si>
    <t>GP</t>
  </si>
  <si>
    <t>F</t>
  </si>
  <si>
    <t>Urban</t>
  </si>
  <si>
    <t>Greater than 3</t>
  </si>
  <si>
    <t>Apart</t>
  </si>
  <si>
    <t>higher education</t>
  </si>
  <si>
    <t>at_home</t>
  </si>
  <si>
    <t>teacher</t>
  </si>
  <si>
    <t>course</t>
  </si>
  <si>
    <t>mother</t>
  </si>
  <si>
    <t>15 to 30 min.</t>
  </si>
  <si>
    <t>2 to 5 hours</t>
  </si>
  <si>
    <t>yes</t>
  </si>
  <si>
    <t>no</t>
  </si>
  <si>
    <t>Fail-5</t>
  </si>
  <si>
    <t>Living together</t>
  </si>
  <si>
    <t>primary education (4th grade)</t>
  </si>
  <si>
    <t>other</t>
  </si>
  <si>
    <t>father</t>
  </si>
  <si>
    <t>&lt;15 min.</t>
  </si>
  <si>
    <t>Less than or equal to 3</t>
  </si>
  <si>
    <t>Fail-7</t>
  </si>
  <si>
    <t>5th to 9th grade</t>
  </si>
  <si>
    <t>services</t>
  </si>
  <si>
    <t>home</t>
  </si>
  <si>
    <t>5 to 10 hours</t>
  </si>
  <si>
    <t>Pass-15</t>
  </si>
  <si>
    <t>secondary education</t>
  </si>
  <si>
    <t>Fail-6</t>
  </si>
  <si>
    <t>M</t>
  </si>
  <si>
    <t>reputation</t>
  </si>
  <si>
    <t>Pass-12</t>
  </si>
  <si>
    <t>Pass-16</t>
  </si>
  <si>
    <t>Pass-14</t>
  </si>
  <si>
    <t>Pass-10</t>
  </si>
  <si>
    <t>30 min. to 1 hour</t>
  </si>
  <si>
    <t>&lt;2 hours</t>
  </si>
  <si>
    <t>Pass-13</t>
  </si>
  <si>
    <t>Fail-8</t>
  </si>
  <si>
    <t>Rural</t>
  </si>
  <si>
    <t>Pass-11</t>
  </si>
  <si>
    <t>Fail-9</t>
  </si>
  <si>
    <t>Pass-17</t>
  </si>
  <si>
    <t>Pass-19</t>
  </si>
  <si>
    <t>&gt;10 hours</t>
  </si>
  <si>
    <t>&gt;1 hour</t>
  </si>
  <si>
    <t>none</t>
  </si>
  <si>
    <t>Pass-18</t>
  </si>
  <si>
    <t>Fail-4</t>
  </si>
  <si>
    <t>Fail-3</t>
  </si>
  <si>
    <t>MS</t>
  </si>
  <si>
    <t>ID =&gt;</t>
  </si>
  <si>
    <t>VLOOKUP</t>
  </si>
  <si>
    <t>Match</t>
  </si>
  <si>
    <t>ID=&gt;</t>
  </si>
  <si>
    <t>Marks - final</t>
  </si>
  <si>
    <t xml:space="preserve">S.no </t>
  </si>
  <si>
    <t>Name</t>
  </si>
  <si>
    <t>AB</t>
  </si>
  <si>
    <t>BC</t>
  </si>
  <si>
    <t>CD</t>
  </si>
  <si>
    <t>DE</t>
  </si>
  <si>
    <t>EF</t>
  </si>
  <si>
    <t>FG</t>
  </si>
  <si>
    <t>GH</t>
  </si>
  <si>
    <t>HI</t>
  </si>
  <si>
    <t>IJ</t>
  </si>
  <si>
    <t>Subject</t>
  </si>
  <si>
    <t>Maths</t>
  </si>
  <si>
    <t>Eng</t>
  </si>
  <si>
    <t>Sci</t>
  </si>
  <si>
    <t>Hindi</t>
  </si>
  <si>
    <t>Marks</t>
  </si>
  <si>
    <t>XLOOKUP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</si>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</sst>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7FC4-61CB-444F-91DF-7786A0F7BE12}">
  <dimension ref="C1:BQ396"/>
  <sheetViews>
    <sheetView tabSelected="1" topLeftCell="AO1" workbookViewId="0">
      <selection activeCell="AY14" sqref="AY14"/>
    </sheetView>
  </sheetViews>
  <sheetFormatPr defaultRowHeight="15" x14ac:dyDescent="0.25"/>
  <cols>
    <col min="3" max="3" width="17.140625" customWidth="1"/>
    <col min="4" max="4" width="9.140625" customWidth="1"/>
    <col min="7" max="8" width="9.140625" customWidth="1"/>
    <col min="10" max="10" width="17.85546875" customWidth="1"/>
    <col min="12" max="12" width="45.85546875" customWidth="1"/>
    <col min="13" max="13" width="27.42578125" customWidth="1"/>
  </cols>
  <sheetData>
    <row r="1" spans="3:69" x14ac:dyDescent="0.25"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Y1" t="s">
        <v>123</v>
      </c>
    </row>
    <row r="2" spans="3:69" x14ac:dyDescent="0.25">
      <c r="P2">
        <v>1</v>
      </c>
      <c r="Q2" t="s">
        <v>68</v>
      </c>
      <c r="R2" t="s">
        <v>69</v>
      </c>
      <c r="S2">
        <v>18</v>
      </c>
      <c r="T2" t="s">
        <v>70</v>
      </c>
      <c r="U2" t="s">
        <v>71</v>
      </c>
      <c r="V2" t="s">
        <v>72</v>
      </c>
      <c r="W2" t="s">
        <v>73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>
        <v>0</v>
      </c>
      <c r="AF2" t="s">
        <v>80</v>
      </c>
      <c r="AG2" t="s">
        <v>81</v>
      </c>
      <c r="AH2" t="s">
        <v>81</v>
      </c>
      <c r="AI2" t="s">
        <v>81</v>
      </c>
      <c r="AJ2" t="s">
        <v>80</v>
      </c>
      <c r="AK2" t="s">
        <v>80</v>
      </c>
      <c r="AL2" t="s">
        <v>81</v>
      </c>
      <c r="AM2" t="s">
        <v>81</v>
      </c>
      <c r="AN2">
        <v>4</v>
      </c>
      <c r="AO2">
        <v>3</v>
      </c>
      <c r="AP2">
        <v>4</v>
      </c>
      <c r="AQ2">
        <v>1</v>
      </c>
      <c r="AR2">
        <v>1</v>
      </c>
      <c r="AS2">
        <v>3</v>
      </c>
      <c r="AT2">
        <v>6</v>
      </c>
      <c r="AU2" t="s">
        <v>82</v>
      </c>
      <c r="AV2">
        <v>6</v>
      </c>
      <c r="AW2">
        <v>6</v>
      </c>
      <c r="AY2">
        <f>VLOOKUP(BA2,$P$1:$AW$396,34,FALSE)</f>
        <v>6</v>
      </c>
      <c r="AZ2" t="s">
        <v>119</v>
      </c>
      <c r="BA2">
        <v>1</v>
      </c>
      <c r="BB2" s="4" t="s">
        <v>120</v>
      </c>
      <c r="BE2" t="s">
        <v>124</v>
      </c>
      <c r="BF2" t="s">
        <v>7</v>
      </c>
      <c r="BG2" t="s">
        <v>125</v>
      </c>
      <c r="BH2" t="s">
        <v>135</v>
      </c>
      <c r="BI2" t="s">
        <v>140</v>
      </c>
      <c r="BK2" s="4" t="s">
        <v>120</v>
      </c>
      <c r="BL2" s="2" t="s">
        <v>142</v>
      </c>
      <c r="BM2" s="2" t="s">
        <v>125</v>
      </c>
      <c r="BO2" s="4" t="s">
        <v>141</v>
      </c>
      <c r="BP2" s="3" t="s">
        <v>7</v>
      </c>
      <c r="BQ2" s="3" t="s">
        <v>125</v>
      </c>
    </row>
    <row r="3" spans="3:69" x14ac:dyDescent="0.25">
      <c r="C3" s="1" t="s">
        <v>0</v>
      </c>
      <c r="D3" s="4" t="s">
        <v>8</v>
      </c>
      <c r="G3" s="4" t="s">
        <v>9</v>
      </c>
      <c r="L3" s="4" t="s">
        <v>10</v>
      </c>
      <c r="P3">
        <v>2</v>
      </c>
      <c r="Q3" t="s">
        <v>68</v>
      </c>
      <c r="R3" t="s">
        <v>69</v>
      </c>
      <c r="S3">
        <v>17</v>
      </c>
      <c r="T3" t="s">
        <v>70</v>
      </c>
      <c r="U3" t="s">
        <v>71</v>
      </c>
      <c r="V3" t="s">
        <v>83</v>
      </c>
      <c r="W3" t="s">
        <v>84</v>
      </c>
      <c r="X3" t="s">
        <v>84</v>
      </c>
      <c r="Y3" t="s">
        <v>74</v>
      </c>
      <c r="Z3" t="s">
        <v>85</v>
      </c>
      <c r="AA3" t="s">
        <v>76</v>
      </c>
      <c r="AB3" t="s">
        <v>86</v>
      </c>
      <c r="AC3" t="s">
        <v>87</v>
      </c>
      <c r="AD3" t="s">
        <v>79</v>
      </c>
      <c r="AE3">
        <v>0</v>
      </c>
      <c r="AF3" t="s">
        <v>81</v>
      </c>
      <c r="AG3" t="s">
        <v>80</v>
      </c>
      <c r="AH3" t="s">
        <v>81</v>
      </c>
      <c r="AI3" t="s">
        <v>81</v>
      </c>
      <c r="AJ3" t="s">
        <v>81</v>
      </c>
      <c r="AK3" t="s">
        <v>80</v>
      </c>
      <c r="AL3" t="s">
        <v>80</v>
      </c>
      <c r="AM3" t="s">
        <v>81</v>
      </c>
      <c r="AN3">
        <v>5</v>
      </c>
      <c r="AO3">
        <v>3</v>
      </c>
      <c r="AP3">
        <v>3</v>
      </c>
      <c r="AQ3">
        <v>1</v>
      </c>
      <c r="AR3">
        <v>1</v>
      </c>
      <c r="AS3">
        <v>3</v>
      </c>
      <c r="AT3">
        <v>4</v>
      </c>
      <c r="AU3" t="s">
        <v>82</v>
      </c>
      <c r="AV3">
        <v>5</v>
      </c>
      <c r="AW3">
        <v>6</v>
      </c>
      <c r="BE3">
        <v>1</v>
      </c>
      <c r="BF3">
        <v>1001</v>
      </c>
      <c r="BG3" t="s">
        <v>126</v>
      </c>
      <c r="BH3" t="s">
        <v>136</v>
      </c>
      <c r="BI3">
        <v>56</v>
      </c>
      <c r="BL3" s="2">
        <v>1</v>
      </c>
      <c r="BM3" s="2" t="str">
        <f>VLOOKUP($BL3,$BE$3:$BI$11,MATCH(BM$2,$BE$2:$BI$2,0),FALSE)</f>
        <v>AB</v>
      </c>
      <c r="BP3" s="3">
        <v>1001</v>
      </c>
      <c r="BQ3" s="3" t="str">
        <f>_xlfn.XLOOKUP(BP3,$BF$3:$BF$11,$BG$3:$BG$11,"Data Not Found")</f>
        <v>AB</v>
      </c>
    </row>
    <row r="4" spans="3:69" x14ac:dyDescent="0.25">
      <c r="C4" s="1" t="s">
        <v>1</v>
      </c>
      <c r="D4" t="s">
        <v>7</v>
      </c>
      <c r="E4">
        <f>- 1 - 10001</f>
        <v>-10002</v>
      </c>
      <c r="G4" t="s">
        <v>0</v>
      </c>
      <c r="H4">
        <v>1</v>
      </c>
      <c r="I4">
        <v>10001</v>
      </c>
      <c r="L4" t="s">
        <v>11</v>
      </c>
      <c r="M4">
        <v>1023456789</v>
      </c>
      <c r="P4">
        <v>3</v>
      </c>
      <c r="Q4" t="s">
        <v>68</v>
      </c>
      <c r="R4" t="s">
        <v>69</v>
      </c>
      <c r="S4">
        <v>15</v>
      </c>
      <c r="T4" t="s">
        <v>70</v>
      </c>
      <c r="U4" t="s">
        <v>88</v>
      </c>
      <c r="V4" t="s">
        <v>83</v>
      </c>
      <c r="W4" t="s">
        <v>84</v>
      </c>
      <c r="X4" t="s">
        <v>84</v>
      </c>
      <c r="Y4" t="s">
        <v>74</v>
      </c>
      <c r="Z4" t="s">
        <v>85</v>
      </c>
      <c r="AA4" t="s">
        <v>85</v>
      </c>
      <c r="AB4" t="s">
        <v>77</v>
      </c>
      <c r="AC4" t="s">
        <v>87</v>
      </c>
      <c r="AD4" t="s">
        <v>79</v>
      </c>
      <c r="AE4">
        <v>3</v>
      </c>
      <c r="AF4" t="s">
        <v>80</v>
      </c>
      <c r="AG4" t="s">
        <v>81</v>
      </c>
      <c r="AH4" t="s">
        <v>80</v>
      </c>
      <c r="AI4" t="s">
        <v>81</v>
      </c>
      <c r="AJ4" t="s">
        <v>80</v>
      </c>
      <c r="AK4" t="s">
        <v>80</v>
      </c>
      <c r="AL4" t="s">
        <v>80</v>
      </c>
      <c r="AM4" t="s">
        <v>81</v>
      </c>
      <c r="AN4">
        <v>4</v>
      </c>
      <c r="AO4">
        <v>3</v>
      </c>
      <c r="AP4">
        <v>2</v>
      </c>
      <c r="AQ4">
        <v>2</v>
      </c>
      <c r="AR4">
        <v>3</v>
      </c>
      <c r="AS4">
        <v>3</v>
      </c>
      <c r="AT4">
        <v>10</v>
      </c>
      <c r="AU4" t="s">
        <v>89</v>
      </c>
      <c r="AV4">
        <v>8</v>
      </c>
      <c r="AW4">
        <v>10</v>
      </c>
      <c r="AY4">
        <f>MATCH(BA4,P:P,0)</f>
        <v>4</v>
      </c>
      <c r="AZ4" t="s">
        <v>122</v>
      </c>
      <c r="BA4">
        <v>3</v>
      </c>
      <c r="BB4" s="4" t="s">
        <v>121</v>
      </c>
      <c r="BE4">
        <v>2</v>
      </c>
      <c r="BF4">
        <v>1002</v>
      </c>
      <c r="BG4" t="s">
        <v>127</v>
      </c>
      <c r="BH4" t="s">
        <v>137</v>
      </c>
      <c r="BI4">
        <v>78</v>
      </c>
      <c r="BL4" s="2">
        <v>2</v>
      </c>
      <c r="BM4" s="2" t="str">
        <f t="shared" ref="BM4:BM11" si="0">VLOOKUP($BL4,$BE$3:$BI$11,MATCH(BM$2,$BE$2:$BI$2,0),FALSE)</f>
        <v>BC</v>
      </c>
      <c r="BP4" s="3">
        <v>1002</v>
      </c>
      <c r="BQ4" s="3" t="str">
        <f t="shared" ref="BQ4:BQ8" si="1">_xlfn.XLOOKUP(BP4,$BF$3:$BF$11,$BG$3:$BG$11,"Data Not Found")</f>
        <v>BC</v>
      </c>
    </row>
    <row r="5" spans="3:69" x14ac:dyDescent="0.25">
      <c r="C5" s="1" t="s">
        <v>2</v>
      </c>
      <c r="D5" t="s">
        <v>7</v>
      </c>
      <c r="E5">
        <f>- 2 - 10002</f>
        <v>-10004</v>
      </c>
      <c r="G5" t="s">
        <v>0</v>
      </c>
      <c r="H5">
        <v>2</v>
      </c>
      <c r="I5">
        <v>10002</v>
      </c>
      <c r="L5" t="s">
        <v>12</v>
      </c>
      <c r="M5">
        <v>5</v>
      </c>
      <c r="P5">
        <v>4</v>
      </c>
      <c r="Q5" t="s">
        <v>68</v>
      </c>
      <c r="R5" t="s">
        <v>69</v>
      </c>
      <c r="S5">
        <v>15</v>
      </c>
      <c r="T5" t="s">
        <v>70</v>
      </c>
      <c r="U5" t="s">
        <v>71</v>
      </c>
      <c r="V5" t="s">
        <v>83</v>
      </c>
      <c r="W5" t="s">
        <v>73</v>
      </c>
      <c r="X5" t="s">
        <v>90</v>
      </c>
      <c r="Y5" t="s">
        <v>63</v>
      </c>
      <c r="Z5" t="s">
        <v>91</v>
      </c>
      <c r="AA5" t="s">
        <v>92</v>
      </c>
      <c r="AB5" t="s">
        <v>77</v>
      </c>
      <c r="AC5" t="s">
        <v>87</v>
      </c>
      <c r="AD5" t="s">
        <v>93</v>
      </c>
      <c r="AE5">
        <v>0</v>
      </c>
      <c r="AF5" t="s">
        <v>81</v>
      </c>
      <c r="AG5" t="s">
        <v>80</v>
      </c>
      <c r="AH5" t="s">
        <v>80</v>
      </c>
      <c r="AI5" t="s">
        <v>80</v>
      </c>
      <c r="AJ5" t="s">
        <v>80</v>
      </c>
      <c r="AK5" t="s">
        <v>80</v>
      </c>
      <c r="AL5" t="s">
        <v>80</v>
      </c>
      <c r="AM5" t="s">
        <v>80</v>
      </c>
      <c r="AN5">
        <v>3</v>
      </c>
      <c r="AO5">
        <v>2</v>
      </c>
      <c r="AP5">
        <v>2</v>
      </c>
      <c r="AQ5">
        <v>1</v>
      </c>
      <c r="AR5">
        <v>1</v>
      </c>
      <c r="AS5">
        <v>5</v>
      </c>
      <c r="AT5">
        <v>2</v>
      </c>
      <c r="AU5" t="s">
        <v>94</v>
      </c>
      <c r="AV5">
        <v>14</v>
      </c>
      <c r="AW5">
        <v>15</v>
      </c>
      <c r="BE5">
        <v>3</v>
      </c>
      <c r="BF5">
        <v>1003</v>
      </c>
      <c r="BG5" t="s">
        <v>128</v>
      </c>
      <c r="BH5" t="s">
        <v>136</v>
      </c>
      <c r="BI5">
        <v>49</v>
      </c>
      <c r="BL5" s="2">
        <v>3</v>
      </c>
      <c r="BM5" s="2" t="str">
        <f t="shared" si="0"/>
        <v>CD</v>
      </c>
      <c r="BP5" s="3">
        <v>1003</v>
      </c>
      <c r="BQ5" s="3" t="str">
        <f t="shared" si="1"/>
        <v>CD</v>
      </c>
    </row>
    <row r="6" spans="3:69" x14ac:dyDescent="0.25">
      <c r="C6" s="1" t="s">
        <v>3</v>
      </c>
      <c r="D6" t="s">
        <v>7</v>
      </c>
      <c r="E6">
        <f>- 3 - 10003</f>
        <v>-10006</v>
      </c>
      <c r="G6" t="s">
        <v>0</v>
      </c>
      <c r="H6">
        <v>3</v>
      </c>
      <c r="I6">
        <v>10003</v>
      </c>
      <c r="P6">
        <v>5</v>
      </c>
      <c r="Q6" t="s">
        <v>68</v>
      </c>
      <c r="R6" t="s">
        <v>69</v>
      </c>
      <c r="S6">
        <v>16</v>
      </c>
      <c r="T6" t="s">
        <v>70</v>
      </c>
      <c r="U6" t="s">
        <v>71</v>
      </c>
      <c r="V6" t="s">
        <v>83</v>
      </c>
      <c r="W6" t="s">
        <v>95</v>
      </c>
      <c r="X6" t="s">
        <v>95</v>
      </c>
      <c r="Y6" t="s">
        <v>85</v>
      </c>
      <c r="Z6" t="s">
        <v>85</v>
      </c>
      <c r="AA6" t="s">
        <v>92</v>
      </c>
      <c r="AB6" t="s">
        <v>86</v>
      </c>
      <c r="AC6" t="s">
        <v>87</v>
      </c>
      <c r="AD6" t="s">
        <v>79</v>
      </c>
      <c r="AE6">
        <v>0</v>
      </c>
      <c r="AF6" t="s">
        <v>81</v>
      </c>
      <c r="AG6" t="s">
        <v>80</v>
      </c>
      <c r="AH6" t="s">
        <v>80</v>
      </c>
      <c r="AI6" t="s">
        <v>81</v>
      </c>
      <c r="AJ6" t="s">
        <v>80</v>
      </c>
      <c r="AK6" t="s">
        <v>80</v>
      </c>
      <c r="AL6" t="s">
        <v>81</v>
      </c>
      <c r="AM6" t="s">
        <v>81</v>
      </c>
      <c r="AN6">
        <v>4</v>
      </c>
      <c r="AO6">
        <v>3</v>
      </c>
      <c r="AP6">
        <v>2</v>
      </c>
      <c r="AQ6">
        <v>1</v>
      </c>
      <c r="AR6">
        <v>2</v>
      </c>
      <c r="AS6">
        <v>5</v>
      </c>
      <c r="AT6">
        <v>4</v>
      </c>
      <c r="AU6" t="s">
        <v>96</v>
      </c>
      <c r="AV6">
        <v>10</v>
      </c>
      <c r="AW6">
        <v>10</v>
      </c>
      <c r="BE6">
        <v>4</v>
      </c>
      <c r="BF6">
        <v>1004</v>
      </c>
      <c r="BG6" t="s">
        <v>129</v>
      </c>
      <c r="BH6" t="s">
        <v>138</v>
      </c>
      <c r="BI6">
        <v>24</v>
      </c>
      <c r="BL6" s="2">
        <v>4</v>
      </c>
      <c r="BM6" s="2" t="str">
        <f t="shared" si="0"/>
        <v>DE</v>
      </c>
      <c r="BP6" s="3">
        <v>1004</v>
      </c>
      <c r="BQ6" s="3" t="str">
        <f t="shared" si="1"/>
        <v>DE</v>
      </c>
    </row>
    <row r="7" spans="3:69" x14ac:dyDescent="0.25">
      <c r="C7" s="1" t="s">
        <v>4</v>
      </c>
      <c r="D7" t="s">
        <v>7</v>
      </c>
      <c r="E7">
        <f>- 4 - 10004</f>
        <v>-10008</v>
      </c>
      <c r="G7" t="s">
        <v>0</v>
      </c>
      <c r="H7">
        <v>4</v>
      </c>
      <c r="I7">
        <v>10004</v>
      </c>
      <c r="P7">
        <v>6</v>
      </c>
      <c r="Q7" t="s">
        <v>68</v>
      </c>
      <c r="R7" t="s">
        <v>97</v>
      </c>
      <c r="S7">
        <v>16</v>
      </c>
      <c r="T7" t="s">
        <v>70</v>
      </c>
      <c r="U7" t="s">
        <v>88</v>
      </c>
      <c r="V7" t="s">
        <v>83</v>
      </c>
      <c r="W7" t="s">
        <v>73</v>
      </c>
      <c r="X7" t="s">
        <v>95</v>
      </c>
      <c r="Y7" t="s">
        <v>91</v>
      </c>
      <c r="Z7" t="s">
        <v>85</v>
      </c>
      <c r="AA7" t="s">
        <v>98</v>
      </c>
      <c r="AB7" t="s">
        <v>77</v>
      </c>
      <c r="AC7" t="s">
        <v>87</v>
      </c>
      <c r="AD7" t="s">
        <v>79</v>
      </c>
      <c r="AE7">
        <v>0</v>
      </c>
      <c r="AF7" t="s">
        <v>81</v>
      </c>
      <c r="AG7" t="s">
        <v>80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81</v>
      </c>
      <c r="AN7">
        <v>5</v>
      </c>
      <c r="AO7">
        <v>4</v>
      </c>
      <c r="AP7">
        <v>2</v>
      </c>
      <c r="AQ7">
        <v>1</v>
      </c>
      <c r="AR7">
        <v>2</v>
      </c>
      <c r="AS7">
        <v>5</v>
      </c>
      <c r="AT7">
        <v>10</v>
      </c>
      <c r="AU7" t="s">
        <v>94</v>
      </c>
      <c r="AV7">
        <v>15</v>
      </c>
      <c r="AW7">
        <v>15</v>
      </c>
      <c r="BE7">
        <v>5</v>
      </c>
      <c r="BF7">
        <v>1005</v>
      </c>
      <c r="BG7" t="s">
        <v>130</v>
      </c>
      <c r="BH7" t="s">
        <v>138</v>
      </c>
      <c r="BI7">
        <v>57</v>
      </c>
      <c r="BL7" s="2">
        <v>5</v>
      </c>
      <c r="BM7" s="2" t="str">
        <f t="shared" si="0"/>
        <v>EF</v>
      </c>
      <c r="BP7" s="3">
        <v>1005</v>
      </c>
      <c r="BQ7" s="3" t="str">
        <f t="shared" si="1"/>
        <v>EF</v>
      </c>
    </row>
    <row r="8" spans="3:69" x14ac:dyDescent="0.25">
      <c r="C8" s="1" t="s">
        <v>5</v>
      </c>
      <c r="D8" t="s">
        <v>7</v>
      </c>
      <c r="E8">
        <f>- 5 - 10005</f>
        <v>-10010</v>
      </c>
      <c r="G8" t="s">
        <v>0</v>
      </c>
      <c r="H8">
        <v>5</v>
      </c>
      <c r="I8">
        <v>10005</v>
      </c>
      <c r="P8">
        <v>7</v>
      </c>
      <c r="Q8" t="s">
        <v>68</v>
      </c>
      <c r="R8" t="s">
        <v>97</v>
      </c>
      <c r="S8">
        <v>16</v>
      </c>
      <c r="T8" t="s">
        <v>70</v>
      </c>
      <c r="U8" t="s">
        <v>88</v>
      </c>
      <c r="V8" t="s">
        <v>83</v>
      </c>
      <c r="W8" t="s">
        <v>90</v>
      </c>
      <c r="X8" t="s">
        <v>90</v>
      </c>
      <c r="Y8" t="s">
        <v>85</v>
      </c>
      <c r="Z8" t="s">
        <v>85</v>
      </c>
      <c r="AA8" t="s">
        <v>92</v>
      </c>
      <c r="AB8" t="s">
        <v>77</v>
      </c>
      <c r="AC8" t="s">
        <v>87</v>
      </c>
      <c r="AD8" t="s">
        <v>79</v>
      </c>
      <c r="AE8">
        <v>0</v>
      </c>
      <c r="AF8" t="s">
        <v>81</v>
      </c>
      <c r="AG8" t="s">
        <v>81</v>
      </c>
      <c r="AH8" t="s">
        <v>81</v>
      </c>
      <c r="AI8" t="s">
        <v>81</v>
      </c>
      <c r="AJ8" t="s">
        <v>80</v>
      </c>
      <c r="AK8" t="s">
        <v>80</v>
      </c>
      <c r="AL8" t="s">
        <v>80</v>
      </c>
      <c r="AM8" t="s">
        <v>81</v>
      </c>
      <c r="AN8">
        <v>4</v>
      </c>
      <c r="AO8">
        <v>4</v>
      </c>
      <c r="AP8">
        <v>4</v>
      </c>
      <c r="AQ8">
        <v>1</v>
      </c>
      <c r="AR8">
        <v>1</v>
      </c>
      <c r="AS8">
        <v>3</v>
      </c>
      <c r="AT8">
        <v>0</v>
      </c>
      <c r="AU8" t="s">
        <v>99</v>
      </c>
      <c r="AV8">
        <v>12</v>
      </c>
      <c r="AW8">
        <v>11</v>
      </c>
      <c r="BE8">
        <v>6</v>
      </c>
      <c r="BF8">
        <v>1006</v>
      </c>
      <c r="BG8" t="s">
        <v>131</v>
      </c>
      <c r="BH8" t="s">
        <v>137</v>
      </c>
      <c r="BI8">
        <v>31</v>
      </c>
      <c r="BL8" s="2">
        <v>6</v>
      </c>
      <c r="BM8" s="2" t="str">
        <f t="shared" si="0"/>
        <v>FG</v>
      </c>
      <c r="BP8" s="3">
        <v>1001</v>
      </c>
      <c r="BQ8" s="3" t="str">
        <f t="shared" si="1"/>
        <v>AB</v>
      </c>
    </row>
    <row r="9" spans="3:69" x14ac:dyDescent="0.25">
      <c r="C9" s="1" t="s">
        <v>6</v>
      </c>
      <c r="D9" t="s">
        <v>7</v>
      </c>
      <c r="E9">
        <f>- 6 - 10006</f>
        <v>-10012</v>
      </c>
      <c r="G9" t="s">
        <v>0</v>
      </c>
      <c r="H9">
        <v>6</v>
      </c>
      <c r="I9">
        <v>10006</v>
      </c>
      <c r="P9">
        <v>8</v>
      </c>
      <c r="Q9" t="s">
        <v>68</v>
      </c>
      <c r="R9" t="s">
        <v>69</v>
      </c>
      <c r="S9">
        <v>17</v>
      </c>
      <c r="T9" t="s">
        <v>70</v>
      </c>
      <c r="U9" t="s">
        <v>71</v>
      </c>
      <c r="V9" t="s">
        <v>72</v>
      </c>
      <c r="W9" t="s">
        <v>73</v>
      </c>
      <c r="X9" t="s">
        <v>73</v>
      </c>
      <c r="Y9" t="s">
        <v>85</v>
      </c>
      <c r="Z9" t="s">
        <v>75</v>
      </c>
      <c r="AA9" t="s">
        <v>92</v>
      </c>
      <c r="AB9" t="s">
        <v>77</v>
      </c>
      <c r="AC9" t="s">
        <v>78</v>
      </c>
      <c r="AD9" t="s">
        <v>79</v>
      </c>
      <c r="AE9">
        <v>0</v>
      </c>
      <c r="AF9" t="s">
        <v>80</v>
      </c>
      <c r="AG9" t="s">
        <v>80</v>
      </c>
      <c r="AH9" t="s">
        <v>81</v>
      </c>
      <c r="AI9" t="s">
        <v>81</v>
      </c>
      <c r="AJ9" t="s">
        <v>80</v>
      </c>
      <c r="AK9" t="s">
        <v>80</v>
      </c>
      <c r="AL9" t="s">
        <v>81</v>
      </c>
      <c r="AM9" t="s">
        <v>81</v>
      </c>
      <c r="AN9">
        <v>4</v>
      </c>
      <c r="AO9">
        <v>1</v>
      </c>
      <c r="AP9">
        <v>4</v>
      </c>
      <c r="AQ9">
        <v>1</v>
      </c>
      <c r="AR9">
        <v>1</v>
      </c>
      <c r="AS9">
        <v>1</v>
      </c>
      <c r="AT9">
        <v>6</v>
      </c>
      <c r="AU9" t="s">
        <v>96</v>
      </c>
      <c r="AV9">
        <v>5</v>
      </c>
      <c r="AW9">
        <v>6</v>
      </c>
      <c r="BE9">
        <v>7</v>
      </c>
      <c r="BF9">
        <v>1007</v>
      </c>
      <c r="BG9" t="s">
        <v>132</v>
      </c>
      <c r="BH9" t="s">
        <v>136</v>
      </c>
      <c r="BI9">
        <v>64</v>
      </c>
      <c r="BL9" s="2">
        <v>7</v>
      </c>
      <c r="BM9" s="2" t="str">
        <f t="shared" si="0"/>
        <v>GH</v>
      </c>
    </row>
    <row r="10" spans="3:69" x14ac:dyDescent="0.25">
      <c r="P10">
        <v>9</v>
      </c>
      <c r="Q10" t="s">
        <v>68</v>
      </c>
      <c r="R10" t="s">
        <v>97</v>
      </c>
      <c r="S10">
        <v>15</v>
      </c>
      <c r="T10" t="s">
        <v>70</v>
      </c>
      <c r="U10" t="s">
        <v>88</v>
      </c>
      <c r="V10" t="s">
        <v>72</v>
      </c>
      <c r="W10" t="s">
        <v>95</v>
      </c>
      <c r="X10" t="s">
        <v>90</v>
      </c>
      <c r="Y10" t="s">
        <v>91</v>
      </c>
      <c r="Z10" t="s">
        <v>85</v>
      </c>
      <c r="AA10" t="s">
        <v>92</v>
      </c>
      <c r="AB10" t="s">
        <v>77</v>
      </c>
      <c r="AC10" t="s">
        <v>87</v>
      </c>
      <c r="AD10" t="s">
        <v>79</v>
      </c>
      <c r="AE10">
        <v>0</v>
      </c>
      <c r="AF10" t="s">
        <v>81</v>
      </c>
      <c r="AG10" t="s">
        <v>80</v>
      </c>
      <c r="AH10" t="s">
        <v>80</v>
      </c>
      <c r="AI10" t="s">
        <v>81</v>
      </c>
      <c r="AJ10" t="s">
        <v>80</v>
      </c>
      <c r="AK10" t="s">
        <v>80</v>
      </c>
      <c r="AL10" t="s">
        <v>80</v>
      </c>
      <c r="AM10" t="s">
        <v>81</v>
      </c>
      <c r="AN10">
        <v>4</v>
      </c>
      <c r="AO10">
        <v>2</v>
      </c>
      <c r="AP10">
        <v>2</v>
      </c>
      <c r="AQ10">
        <v>1</v>
      </c>
      <c r="AR10">
        <v>1</v>
      </c>
      <c r="AS10">
        <v>1</v>
      </c>
      <c r="AT10">
        <v>0</v>
      </c>
      <c r="AU10" t="s">
        <v>100</v>
      </c>
      <c r="AV10">
        <v>18</v>
      </c>
      <c r="AW10">
        <v>19</v>
      </c>
      <c r="BE10">
        <v>8</v>
      </c>
      <c r="BF10">
        <v>1008</v>
      </c>
      <c r="BG10" t="s">
        <v>133</v>
      </c>
      <c r="BH10" t="s">
        <v>139</v>
      </c>
      <c r="BI10">
        <v>82</v>
      </c>
      <c r="BL10" s="2">
        <v>8</v>
      </c>
      <c r="BM10" s="2" t="str">
        <f t="shared" si="0"/>
        <v>HI</v>
      </c>
    </row>
    <row r="11" spans="3:69" x14ac:dyDescent="0.25">
      <c r="L11" s="4" t="s">
        <v>13</v>
      </c>
      <c r="P11">
        <v>10</v>
      </c>
      <c r="Q11" t="s">
        <v>68</v>
      </c>
      <c r="R11" t="s">
        <v>97</v>
      </c>
      <c r="S11">
        <v>15</v>
      </c>
      <c r="T11" t="s">
        <v>70</v>
      </c>
      <c r="U11" t="s">
        <v>71</v>
      </c>
      <c r="V11" t="s">
        <v>83</v>
      </c>
      <c r="W11" t="s">
        <v>95</v>
      </c>
      <c r="X11" t="s">
        <v>73</v>
      </c>
      <c r="Y11" t="s">
        <v>85</v>
      </c>
      <c r="Z11" t="s">
        <v>85</v>
      </c>
      <c r="AA11" t="s">
        <v>92</v>
      </c>
      <c r="AB11" t="s">
        <v>77</v>
      </c>
      <c r="AC11" t="s">
        <v>87</v>
      </c>
      <c r="AD11" t="s">
        <v>79</v>
      </c>
      <c r="AE11">
        <v>0</v>
      </c>
      <c r="AF11" t="s">
        <v>81</v>
      </c>
      <c r="AG11" t="s">
        <v>80</v>
      </c>
      <c r="AH11" t="s">
        <v>80</v>
      </c>
      <c r="AI11" t="s">
        <v>80</v>
      </c>
      <c r="AJ11" t="s">
        <v>80</v>
      </c>
      <c r="AK11" t="s">
        <v>80</v>
      </c>
      <c r="AL11" t="s">
        <v>80</v>
      </c>
      <c r="AM11" t="s">
        <v>81</v>
      </c>
      <c r="AN11">
        <v>5</v>
      </c>
      <c r="AO11">
        <v>5</v>
      </c>
      <c r="AP11">
        <v>1</v>
      </c>
      <c r="AQ11">
        <v>1</v>
      </c>
      <c r="AR11">
        <v>1</v>
      </c>
      <c r="AS11">
        <v>5</v>
      </c>
      <c r="AT11">
        <v>0</v>
      </c>
      <c r="AU11" t="s">
        <v>101</v>
      </c>
      <c r="AV11">
        <v>15</v>
      </c>
      <c r="AW11">
        <v>15</v>
      </c>
      <c r="BE11">
        <v>9</v>
      </c>
      <c r="BF11">
        <v>1009</v>
      </c>
      <c r="BG11" t="s">
        <v>134</v>
      </c>
      <c r="BH11" t="s">
        <v>139</v>
      </c>
      <c r="BI11">
        <v>90</v>
      </c>
      <c r="BL11" s="2">
        <v>9</v>
      </c>
      <c r="BM11" s="2" t="str">
        <f t="shared" si="0"/>
        <v>IJ</v>
      </c>
    </row>
    <row r="12" spans="3:69" x14ac:dyDescent="0.25">
      <c r="L12" t="s">
        <v>14</v>
      </c>
      <c r="M12" t="str">
        <f>UPPER(J17)</f>
        <v>ECONOMICS</v>
      </c>
      <c r="P12">
        <v>11</v>
      </c>
      <c r="Q12" t="s">
        <v>68</v>
      </c>
      <c r="R12" t="s">
        <v>69</v>
      </c>
      <c r="S12">
        <v>15</v>
      </c>
      <c r="T12" t="s">
        <v>70</v>
      </c>
      <c r="U12" t="s">
        <v>71</v>
      </c>
      <c r="V12" t="s">
        <v>83</v>
      </c>
      <c r="W12" t="s">
        <v>73</v>
      </c>
      <c r="X12" t="s">
        <v>73</v>
      </c>
      <c r="Y12" t="s">
        <v>75</v>
      </c>
      <c r="Z12" t="s">
        <v>63</v>
      </c>
      <c r="AA12" t="s">
        <v>98</v>
      </c>
      <c r="AB12" t="s">
        <v>77</v>
      </c>
      <c r="AC12" t="s">
        <v>87</v>
      </c>
      <c r="AD12" t="s">
        <v>79</v>
      </c>
      <c r="AE12">
        <v>0</v>
      </c>
      <c r="AF12" t="s">
        <v>81</v>
      </c>
      <c r="AG12" t="s">
        <v>80</v>
      </c>
      <c r="AH12" t="s">
        <v>80</v>
      </c>
      <c r="AI12" t="s">
        <v>81</v>
      </c>
      <c r="AJ12" t="s">
        <v>80</v>
      </c>
      <c r="AK12" t="s">
        <v>80</v>
      </c>
      <c r="AL12" t="s">
        <v>80</v>
      </c>
      <c r="AM12" t="s">
        <v>81</v>
      </c>
      <c r="AN12">
        <v>3</v>
      </c>
      <c r="AO12">
        <v>3</v>
      </c>
      <c r="AP12">
        <v>3</v>
      </c>
      <c r="AQ12">
        <v>1</v>
      </c>
      <c r="AR12">
        <v>2</v>
      </c>
      <c r="AS12">
        <v>2</v>
      </c>
      <c r="AT12">
        <v>0</v>
      </c>
      <c r="AU12" t="s">
        <v>102</v>
      </c>
      <c r="AV12">
        <v>8</v>
      </c>
      <c r="AW12">
        <v>9</v>
      </c>
    </row>
    <row r="13" spans="3:69" x14ac:dyDescent="0.25">
      <c r="L13" t="s">
        <v>15</v>
      </c>
      <c r="M13" t="str">
        <f>LOWER(M12)</f>
        <v>economics</v>
      </c>
      <c r="P13">
        <v>12</v>
      </c>
      <c r="Q13" t="s">
        <v>68</v>
      </c>
      <c r="R13" t="s">
        <v>69</v>
      </c>
      <c r="S13">
        <v>15</v>
      </c>
      <c r="T13" t="s">
        <v>70</v>
      </c>
      <c r="U13" t="s">
        <v>71</v>
      </c>
      <c r="V13" t="s">
        <v>83</v>
      </c>
      <c r="W13" t="s">
        <v>90</v>
      </c>
      <c r="X13" t="s">
        <v>84</v>
      </c>
      <c r="Y13" t="s">
        <v>91</v>
      </c>
      <c r="Z13" t="s">
        <v>85</v>
      </c>
      <c r="AA13" t="s">
        <v>98</v>
      </c>
      <c r="AB13" t="s">
        <v>86</v>
      </c>
      <c r="AC13" t="s">
        <v>103</v>
      </c>
      <c r="AD13" t="s">
        <v>93</v>
      </c>
      <c r="AE13">
        <v>0</v>
      </c>
      <c r="AF13" t="s">
        <v>81</v>
      </c>
      <c r="AG13" t="s">
        <v>80</v>
      </c>
      <c r="AH13" t="s">
        <v>81</v>
      </c>
      <c r="AI13" t="s">
        <v>80</v>
      </c>
      <c r="AJ13" t="s">
        <v>80</v>
      </c>
      <c r="AK13" t="s">
        <v>80</v>
      </c>
      <c r="AL13" t="s">
        <v>80</v>
      </c>
      <c r="AM13" t="s">
        <v>81</v>
      </c>
      <c r="AN13">
        <v>5</v>
      </c>
      <c r="AO13">
        <v>2</v>
      </c>
      <c r="AP13">
        <v>2</v>
      </c>
      <c r="AQ13">
        <v>1</v>
      </c>
      <c r="AR13">
        <v>1</v>
      </c>
      <c r="AS13">
        <v>4</v>
      </c>
      <c r="AT13">
        <v>4</v>
      </c>
      <c r="AU13" t="s">
        <v>102</v>
      </c>
      <c r="AV13">
        <v>12</v>
      </c>
      <c r="AW13">
        <v>12</v>
      </c>
    </row>
    <row r="14" spans="3:69" x14ac:dyDescent="0.25">
      <c r="L14" t="s">
        <v>16</v>
      </c>
      <c r="M14" t="str">
        <f>PROPER(M12)</f>
        <v>Economics</v>
      </c>
      <c r="P14">
        <v>13</v>
      </c>
      <c r="Q14" t="s">
        <v>68</v>
      </c>
      <c r="R14" t="s">
        <v>97</v>
      </c>
      <c r="S14">
        <v>15</v>
      </c>
      <c r="T14" t="s">
        <v>70</v>
      </c>
      <c r="U14" t="s">
        <v>88</v>
      </c>
      <c r="V14" t="s">
        <v>83</v>
      </c>
      <c r="W14" t="s">
        <v>73</v>
      </c>
      <c r="X14" t="s">
        <v>73</v>
      </c>
      <c r="Y14" t="s">
        <v>63</v>
      </c>
      <c r="Z14" t="s">
        <v>91</v>
      </c>
      <c r="AA14" t="s">
        <v>76</v>
      </c>
      <c r="AB14" t="s">
        <v>86</v>
      </c>
      <c r="AC14" t="s">
        <v>87</v>
      </c>
      <c r="AD14" t="s">
        <v>104</v>
      </c>
      <c r="AE14">
        <v>0</v>
      </c>
      <c r="AF14" t="s">
        <v>81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80</v>
      </c>
      <c r="AM14" t="s">
        <v>81</v>
      </c>
      <c r="AN14">
        <v>4</v>
      </c>
      <c r="AO14">
        <v>3</v>
      </c>
      <c r="AP14">
        <v>3</v>
      </c>
      <c r="AQ14">
        <v>1</v>
      </c>
      <c r="AR14">
        <v>3</v>
      </c>
      <c r="AS14">
        <v>5</v>
      </c>
      <c r="AT14">
        <v>2</v>
      </c>
      <c r="AU14" t="s">
        <v>101</v>
      </c>
      <c r="AV14">
        <v>14</v>
      </c>
      <c r="AW14">
        <v>14</v>
      </c>
    </row>
    <row r="15" spans="3:69" x14ac:dyDescent="0.25">
      <c r="J15" t="s">
        <v>29</v>
      </c>
      <c r="P15">
        <v>14</v>
      </c>
      <c r="Q15" t="s">
        <v>68</v>
      </c>
      <c r="R15" t="s">
        <v>97</v>
      </c>
      <c r="S15">
        <v>15</v>
      </c>
      <c r="T15" t="s">
        <v>70</v>
      </c>
      <c r="U15" t="s">
        <v>71</v>
      </c>
      <c r="V15" t="s">
        <v>83</v>
      </c>
      <c r="W15" t="s">
        <v>73</v>
      </c>
      <c r="X15" t="s">
        <v>95</v>
      </c>
      <c r="Y15" t="s">
        <v>75</v>
      </c>
      <c r="Z15" t="s">
        <v>85</v>
      </c>
      <c r="AA15" t="s">
        <v>76</v>
      </c>
      <c r="AB15" t="s">
        <v>77</v>
      </c>
      <c r="AC15" t="s">
        <v>78</v>
      </c>
      <c r="AD15" t="s">
        <v>79</v>
      </c>
      <c r="AE15">
        <v>0</v>
      </c>
      <c r="AF15" t="s">
        <v>81</v>
      </c>
      <c r="AG15" t="s">
        <v>80</v>
      </c>
      <c r="AH15" t="s">
        <v>80</v>
      </c>
      <c r="AI15" t="s">
        <v>81</v>
      </c>
      <c r="AJ15" t="s">
        <v>80</v>
      </c>
      <c r="AK15" t="s">
        <v>80</v>
      </c>
      <c r="AL15" t="s">
        <v>80</v>
      </c>
      <c r="AM15" t="s">
        <v>81</v>
      </c>
      <c r="AN15">
        <v>5</v>
      </c>
      <c r="AO15">
        <v>4</v>
      </c>
      <c r="AP15">
        <v>3</v>
      </c>
      <c r="AQ15">
        <v>1</v>
      </c>
      <c r="AR15">
        <v>2</v>
      </c>
      <c r="AS15">
        <v>3</v>
      </c>
      <c r="AT15">
        <v>2</v>
      </c>
      <c r="AU15" t="s">
        <v>102</v>
      </c>
      <c r="AV15">
        <v>10</v>
      </c>
      <c r="AW15">
        <v>11</v>
      </c>
    </row>
    <row r="16" spans="3:69" x14ac:dyDescent="0.25">
      <c r="L16" t="s">
        <v>17</v>
      </c>
      <c r="M16" t="str">
        <f>LEFT(J20,3)</f>
        <v>ABC</v>
      </c>
      <c r="P16">
        <v>15</v>
      </c>
      <c r="Q16" t="s">
        <v>68</v>
      </c>
      <c r="R16" t="s">
        <v>97</v>
      </c>
      <c r="S16">
        <v>15</v>
      </c>
      <c r="T16" t="s">
        <v>70</v>
      </c>
      <c r="U16" t="s">
        <v>71</v>
      </c>
      <c r="V16" t="s">
        <v>72</v>
      </c>
      <c r="W16" t="s">
        <v>90</v>
      </c>
      <c r="X16" t="s">
        <v>90</v>
      </c>
      <c r="Y16" t="s">
        <v>85</v>
      </c>
      <c r="Z16" t="s">
        <v>85</v>
      </c>
      <c r="AA16" t="s">
        <v>92</v>
      </c>
      <c r="AB16" t="s">
        <v>85</v>
      </c>
      <c r="AC16" t="s">
        <v>87</v>
      </c>
      <c r="AD16" t="s">
        <v>93</v>
      </c>
      <c r="AE16">
        <v>0</v>
      </c>
      <c r="AF16" t="s">
        <v>81</v>
      </c>
      <c r="AG16" t="s">
        <v>80</v>
      </c>
      <c r="AH16" t="s">
        <v>81</v>
      </c>
      <c r="AI16" t="s">
        <v>81</v>
      </c>
      <c r="AJ16" t="s">
        <v>80</v>
      </c>
      <c r="AK16" t="s">
        <v>80</v>
      </c>
      <c r="AL16" t="s">
        <v>80</v>
      </c>
      <c r="AM16" t="s">
        <v>80</v>
      </c>
      <c r="AN16">
        <v>4</v>
      </c>
      <c r="AO16">
        <v>5</v>
      </c>
      <c r="AP16">
        <v>2</v>
      </c>
      <c r="AQ16">
        <v>1</v>
      </c>
      <c r="AR16">
        <v>1</v>
      </c>
      <c r="AS16">
        <v>3</v>
      </c>
      <c r="AT16">
        <v>0</v>
      </c>
      <c r="AU16" t="s">
        <v>101</v>
      </c>
      <c r="AV16">
        <v>16</v>
      </c>
      <c r="AW16">
        <v>16</v>
      </c>
    </row>
    <row r="17" spans="10:49" x14ac:dyDescent="0.25">
      <c r="J17" t="s">
        <v>30</v>
      </c>
      <c r="L17" t="s">
        <v>18</v>
      </c>
      <c r="M17" t="str">
        <f>RIGHT(J20,3)</f>
        <v>001</v>
      </c>
      <c r="P17">
        <v>16</v>
      </c>
      <c r="Q17" t="s">
        <v>68</v>
      </c>
      <c r="R17" t="s">
        <v>69</v>
      </c>
      <c r="S17">
        <v>16</v>
      </c>
      <c r="T17" t="s">
        <v>70</v>
      </c>
      <c r="U17" t="s">
        <v>71</v>
      </c>
      <c r="V17" t="s">
        <v>83</v>
      </c>
      <c r="W17" t="s">
        <v>73</v>
      </c>
      <c r="X17" t="s">
        <v>73</v>
      </c>
      <c r="Y17" t="s">
        <v>63</v>
      </c>
      <c r="Z17" t="s">
        <v>85</v>
      </c>
      <c r="AA17" t="s">
        <v>92</v>
      </c>
      <c r="AB17" t="s">
        <v>77</v>
      </c>
      <c r="AC17" t="s">
        <v>87</v>
      </c>
      <c r="AD17" t="s">
        <v>104</v>
      </c>
      <c r="AE17">
        <v>0</v>
      </c>
      <c r="AF17" t="s">
        <v>81</v>
      </c>
      <c r="AG17" t="s">
        <v>80</v>
      </c>
      <c r="AH17" t="s">
        <v>81</v>
      </c>
      <c r="AI17" t="s">
        <v>81</v>
      </c>
      <c r="AJ17" t="s">
        <v>80</v>
      </c>
      <c r="AK17" t="s">
        <v>80</v>
      </c>
      <c r="AL17" t="s">
        <v>80</v>
      </c>
      <c r="AM17" t="s">
        <v>81</v>
      </c>
      <c r="AN17">
        <v>4</v>
      </c>
      <c r="AO17">
        <v>4</v>
      </c>
      <c r="AP17">
        <v>4</v>
      </c>
      <c r="AQ17">
        <v>1</v>
      </c>
      <c r="AR17">
        <v>2</v>
      </c>
      <c r="AS17">
        <v>2</v>
      </c>
      <c r="AT17">
        <v>4</v>
      </c>
      <c r="AU17" t="s">
        <v>101</v>
      </c>
      <c r="AV17">
        <v>14</v>
      </c>
      <c r="AW17">
        <v>14</v>
      </c>
    </row>
    <row r="18" spans="10:49" x14ac:dyDescent="0.25">
      <c r="J18" t="s">
        <v>31</v>
      </c>
      <c r="L18" t="s">
        <v>19</v>
      </c>
      <c r="M18" t="str">
        <f>MID(J20,7,2)</f>
        <v>01</v>
      </c>
      <c r="P18">
        <v>17</v>
      </c>
      <c r="Q18" t="s">
        <v>68</v>
      </c>
      <c r="R18" t="s">
        <v>69</v>
      </c>
      <c r="S18">
        <v>16</v>
      </c>
      <c r="T18" t="s">
        <v>70</v>
      </c>
      <c r="U18" t="s">
        <v>71</v>
      </c>
      <c r="V18" t="s">
        <v>83</v>
      </c>
      <c r="W18" t="s">
        <v>73</v>
      </c>
      <c r="X18" t="s">
        <v>73</v>
      </c>
      <c r="Y18" t="s">
        <v>91</v>
      </c>
      <c r="Z18" t="s">
        <v>91</v>
      </c>
      <c r="AA18" t="s">
        <v>98</v>
      </c>
      <c r="AB18" t="s">
        <v>77</v>
      </c>
      <c r="AC18" t="s">
        <v>87</v>
      </c>
      <c r="AD18" t="s">
        <v>93</v>
      </c>
      <c r="AE18">
        <v>0</v>
      </c>
      <c r="AF18" t="s">
        <v>81</v>
      </c>
      <c r="AG18" t="s">
        <v>80</v>
      </c>
      <c r="AH18" t="s">
        <v>80</v>
      </c>
      <c r="AI18" t="s">
        <v>80</v>
      </c>
      <c r="AJ18" t="s">
        <v>80</v>
      </c>
      <c r="AK18" t="s">
        <v>80</v>
      </c>
      <c r="AL18" t="s">
        <v>80</v>
      </c>
      <c r="AM18" t="s">
        <v>81</v>
      </c>
      <c r="AN18">
        <v>3</v>
      </c>
      <c r="AO18">
        <v>2</v>
      </c>
      <c r="AP18">
        <v>3</v>
      </c>
      <c r="AQ18">
        <v>1</v>
      </c>
      <c r="AR18">
        <v>2</v>
      </c>
      <c r="AS18">
        <v>2</v>
      </c>
      <c r="AT18">
        <v>6</v>
      </c>
      <c r="AU18" t="s">
        <v>105</v>
      </c>
      <c r="AV18">
        <v>14</v>
      </c>
      <c r="AW18">
        <v>14</v>
      </c>
    </row>
    <row r="19" spans="10:49" x14ac:dyDescent="0.25">
      <c r="P19">
        <v>18</v>
      </c>
      <c r="Q19" t="s">
        <v>68</v>
      </c>
      <c r="R19" t="s">
        <v>69</v>
      </c>
      <c r="S19">
        <v>16</v>
      </c>
      <c r="T19" t="s">
        <v>70</v>
      </c>
      <c r="U19" t="s">
        <v>71</v>
      </c>
      <c r="V19" t="s">
        <v>83</v>
      </c>
      <c r="W19" t="s">
        <v>95</v>
      </c>
      <c r="X19" t="s">
        <v>95</v>
      </c>
      <c r="Y19" t="s">
        <v>85</v>
      </c>
      <c r="Z19" t="s">
        <v>85</v>
      </c>
      <c r="AA19" t="s">
        <v>98</v>
      </c>
      <c r="AB19" t="s">
        <v>77</v>
      </c>
      <c r="AC19" t="s">
        <v>103</v>
      </c>
      <c r="AD19" t="s">
        <v>79</v>
      </c>
      <c r="AE19">
        <v>0</v>
      </c>
      <c r="AF19" t="s">
        <v>80</v>
      </c>
      <c r="AG19" t="s">
        <v>80</v>
      </c>
      <c r="AH19" t="s">
        <v>81</v>
      </c>
      <c r="AI19" t="s">
        <v>80</v>
      </c>
      <c r="AJ19" t="s">
        <v>80</v>
      </c>
      <c r="AK19" t="s">
        <v>80</v>
      </c>
      <c r="AL19" t="s">
        <v>81</v>
      </c>
      <c r="AM19" t="s">
        <v>81</v>
      </c>
      <c r="AN19">
        <v>5</v>
      </c>
      <c r="AO19">
        <v>3</v>
      </c>
      <c r="AP19">
        <v>2</v>
      </c>
      <c r="AQ19">
        <v>1</v>
      </c>
      <c r="AR19">
        <v>1</v>
      </c>
      <c r="AS19">
        <v>4</v>
      </c>
      <c r="AT19">
        <v>4</v>
      </c>
      <c r="AU19" t="s">
        <v>106</v>
      </c>
      <c r="AV19">
        <v>10</v>
      </c>
      <c r="AW19">
        <v>10</v>
      </c>
    </row>
    <row r="20" spans="10:49" x14ac:dyDescent="0.25">
      <c r="J20" t="s">
        <v>32</v>
      </c>
      <c r="L20" t="s">
        <v>20</v>
      </c>
      <c r="M20" t="str">
        <f>CHAR(65)</f>
        <v>A</v>
      </c>
      <c r="P20">
        <v>19</v>
      </c>
      <c r="Q20" t="s">
        <v>68</v>
      </c>
      <c r="R20" t="s">
        <v>97</v>
      </c>
      <c r="S20">
        <v>17</v>
      </c>
      <c r="T20" t="s">
        <v>70</v>
      </c>
      <c r="U20" t="s">
        <v>71</v>
      </c>
      <c r="V20" t="s">
        <v>83</v>
      </c>
      <c r="W20" t="s">
        <v>95</v>
      </c>
      <c r="X20" t="s">
        <v>90</v>
      </c>
      <c r="Y20" t="s">
        <v>91</v>
      </c>
      <c r="Z20" t="s">
        <v>91</v>
      </c>
      <c r="AA20" t="s">
        <v>76</v>
      </c>
      <c r="AB20" t="s">
        <v>77</v>
      </c>
      <c r="AC20" t="s">
        <v>87</v>
      </c>
      <c r="AD20" t="s">
        <v>104</v>
      </c>
      <c r="AE20">
        <v>3</v>
      </c>
      <c r="AF20" t="s">
        <v>81</v>
      </c>
      <c r="AG20" t="s">
        <v>80</v>
      </c>
      <c r="AH20" t="s">
        <v>81</v>
      </c>
      <c r="AI20" t="s">
        <v>80</v>
      </c>
      <c r="AJ20" t="s">
        <v>80</v>
      </c>
      <c r="AK20" t="s">
        <v>80</v>
      </c>
      <c r="AL20" t="s">
        <v>80</v>
      </c>
      <c r="AM20" t="s">
        <v>81</v>
      </c>
      <c r="AN20">
        <v>5</v>
      </c>
      <c r="AO20">
        <v>5</v>
      </c>
      <c r="AP20">
        <v>5</v>
      </c>
      <c r="AQ20">
        <v>2</v>
      </c>
      <c r="AR20">
        <v>4</v>
      </c>
      <c r="AS20">
        <v>5</v>
      </c>
      <c r="AT20">
        <v>16</v>
      </c>
      <c r="AU20" t="s">
        <v>96</v>
      </c>
      <c r="AV20">
        <v>5</v>
      </c>
      <c r="AW20">
        <v>5</v>
      </c>
    </row>
    <row r="21" spans="10:49" x14ac:dyDescent="0.25">
      <c r="L21" t="s">
        <v>21</v>
      </c>
      <c r="M21">
        <f>CODE("A")</f>
        <v>65</v>
      </c>
      <c r="P21">
        <v>20</v>
      </c>
      <c r="Q21" t="s">
        <v>68</v>
      </c>
      <c r="R21" t="s">
        <v>97</v>
      </c>
      <c r="S21">
        <v>16</v>
      </c>
      <c r="T21" t="s">
        <v>70</v>
      </c>
      <c r="U21" t="s">
        <v>88</v>
      </c>
      <c r="V21" t="s">
        <v>83</v>
      </c>
      <c r="W21" t="s">
        <v>73</v>
      </c>
      <c r="X21" t="s">
        <v>95</v>
      </c>
      <c r="Y21" t="s">
        <v>63</v>
      </c>
      <c r="Z21" t="s">
        <v>85</v>
      </c>
      <c r="AA21" t="s">
        <v>92</v>
      </c>
      <c r="AB21" t="s">
        <v>86</v>
      </c>
      <c r="AC21" t="s">
        <v>87</v>
      </c>
      <c r="AD21" t="s">
        <v>104</v>
      </c>
      <c r="AE21">
        <v>0</v>
      </c>
      <c r="AF21" t="s">
        <v>81</v>
      </c>
      <c r="AG21" t="s">
        <v>81</v>
      </c>
      <c r="AH21" t="s">
        <v>80</v>
      </c>
      <c r="AI21" t="s">
        <v>80</v>
      </c>
      <c r="AJ21" t="s">
        <v>80</v>
      </c>
      <c r="AK21" t="s">
        <v>80</v>
      </c>
      <c r="AL21" t="s">
        <v>80</v>
      </c>
      <c r="AM21" t="s">
        <v>81</v>
      </c>
      <c r="AN21">
        <v>3</v>
      </c>
      <c r="AO21">
        <v>1</v>
      </c>
      <c r="AP21">
        <v>3</v>
      </c>
      <c r="AQ21">
        <v>1</v>
      </c>
      <c r="AR21">
        <v>3</v>
      </c>
      <c r="AS21">
        <v>5</v>
      </c>
      <c r="AT21">
        <v>4</v>
      </c>
      <c r="AU21" t="s">
        <v>106</v>
      </c>
      <c r="AV21">
        <v>10</v>
      </c>
      <c r="AW21">
        <v>10</v>
      </c>
    </row>
    <row r="22" spans="10:49" x14ac:dyDescent="0.25">
      <c r="L22" t="s">
        <v>22</v>
      </c>
      <c r="M22" t="str">
        <f>_xlfn.UNICHAR(65)</f>
        <v>A</v>
      </c>
      <c r="P22">
        <v>21</v>
      </c>
      <c r="Q22" t="s">
        <v>68</v>
      </c>
      <c r="R22" t="s">
        <v>97</v>
      </c>
      <c r="S22">
        <v>15</v>
      </c>
      <c r="T22" t="s">
        <v>70</v>
      </c>
      <c r="U22" t="s">
        <v>71</v>
      </c>
      <c r="V22" t="s">
        <v>83</v>
      </c>
      <c r="W22" t="s">
        <v>73</v>
      </c>
      <c r="X22" t="s">
        <v>95</v>
      </c>
      <c r="Y22" t="s">
        <v>75</v>
      </c>
      <c r="Z22" t="s">
        <v>85</v>
      </c>
      <c r="AA22" t="s">
        <v>98</v>
      </c>
      <c r="AB22" t="s">
        <v>77</v>
      </c>
      <c r="AC22" t="s">
        <v>87</v>
      </c>
      <c r="AD22" t="s">
        <v>79</v>
      </c>
      <c r="AE22">
        <v>0</v>
      </c>
      <c r="AF22" t="s">
        <v>81</v>
      </c>
      <c r="AG22" t="s">
        <v>81</v>
      </c>
      <c r="AH22" t="s">
        <v>81</v>
      </c>
      <c r="AI22" t="s">
        <v>81</v>
      </c>
      <c r="AJ22" t="s">
        <v>80</v>
      </c>
      <c r="AK22" t="s">
        <v>80</v>
      </c>
      <c r="AL22" t="s">
        <v>80</v>
      </c>
      <c r="AM22" t="s">
        <v>81</v>
      </c>
      <c r="AN22">
        <v>4</v>
      </c>
      <c r="AO22">
        <v>4</v>
      </c>
      <c r="AP22">
        <v>1</v>
      </c>
      <c r="AQ22">
        <v>1</v>
      </c>
      <c r="AR22">
        <v>1</v>
      </c>
      <c r="AS22">
        <v>1</v>
      </c>
      <c r="AT22">
        <v>0</v>
      </c>
      <c r="AU22" t="s">
        <v>105</v>
      </c>
      <c r="AV22">
        <v>14</v>
      </c>
      <c r="AW22">
        <v>15</v>
      </c>
    </row>
    <row r="23" spans="10:49" x14ac:dyDescent="0.25">
      <c r="J23" t="s">
        <v>30</v>
      </c>
      <c r="P23">
        <v>22</v>
      </c>
      <c r="Q23" t="s">
        <v>68</v>
      </c>
      <c r="R23" t="s">
        <v>97</v>
      </c>
      <c r="S23">
        <v>15</v>
      </c>
      <c r="T23" t="s">
        <v>70</v>
      </c>
      <c r="U23" t="s">
        <v>71</v>
      </c>
      <c r="V23" t="s">
        <v>83</v>
      </c>
      <c r="W23" t="s">
        <v>73</v>
      </c>
      <c r="X23" t="s">
        <v>73</v>
      </c>
      <c r="Y23" t="s">
        <v>63</v>
      </c>
      <c r="Z23" t="s">
        <v>63</v>
      </c>
      <c r="AA23" t="s">
        <v>85</v>
      </c>
      <c r="AB23" t="s">
        <v>86</v>
      </c>
      <c r="AC23" t="s">
        <v>87</v>
      </c>
      <c r="AD23" t="s">
        <v>104</v>
      </c>
      <c r="AE23">
        <v>0</v>
      </c>
      <c r="AF23" t="s">
        <v>81</v>
      </c>
      <c r="AG23" t="s">
        <v>80</v>
      </c>
      <c r="AH23" t="s">
        <v>80</v>
      </c>
      <c r="AI23" t="s">
        <v>81</v>
      </c>
      <c r="AJ23" t="s">
        <v>80</v>
      </c>
      <c r="AK23" t="s">
        <v>80</v>
      </c>
      <c r="AL23" t="s">
        <v>80</v>
      </c>
      <c r="AM23" t="s">
        <v>81</v>
      </c>
      <c r="AN23">
        <v>5</v>
      </c>
      <c r="AO23">
        <v>4</v>
      </c>
      <c r="AP23">
        <v>2</v>
      </c>
      <c r="AQ23">
        <v>1</v>
      </c>
      <c r="AR23">
        <v>1</v>
      </c>
      <c r="AS23">
        <v>5</v>
      </c>
      <c r="AT23">
        <v>0</v>
      </c>
      <c r="AU23" t="s">
        <v>99</v>
      </c>
      <c r="AV23">
        <v>15</v>
      </c>
      <c r="AW23">
        <v>15</v>
      </c>
    </row>
    <row r="24" spans="10:49" x14ac:dyDescent="0.25">
      <c r="L24" t="s">
        <v>23</v>
      </c>
      <c r="M24" t="str">
        <f>_xlfn.TEXTJOIN(" ",TRUE,J17,J18)</f>
        <v>Economics Department</v>
      </c>
      <c r="P24">
        <v>23</v>
      </c>
      <c r="Q24" t="s">
        <v>68</v>
      </c>
      <c r="R24" t="s">
        <v>97</v>
      </c>
      <c r="S24">
        <v>16</v>
      </c>
      <c r="T24" t="s">
        <v>70</v>
      </c>
      <c r="U24" t="s">
        <v>88</v>
      </c>
      <c r="V24" t="s">
        <v>83</v>
      </c>
      <c r="W24" t="s">
        <v>73</v>
      </c>
      <c r="X24" t="s">
        <v>90</v>
      </c>
      <c r="Y24" t="s">
        <v>75</v>
      </c>
      <c r="Z24" t="s">
        <v>85</v>
      </c>
      <c r="AA24" t="s">
        <v>76</v>
      </c>
      <c r="AB24" t="s">
        <v>77</v>
      </c>
      <c r="AC24" t="s">
        <v>87</v>
      </c>
      <c r="AD24" t="s">
        <v>79</v>
      </c>
      <c r="AE24">
        <v>0</v>
      </c>
      <c r="AF24" t="s">
        <v>81</v>
      </c>
      <c r="AG24" t="s">
        <v>81</v>
      </c>
      <c r="AH24" t="s">
        <v>81</v>
      </c>
      <c r="AI24" t="s">
        <v>80</v>
      </c>
      <c r="AJ24" t="s">
        <v>80</v>
      </c>
      <c r="AK24" t="s">
        <v>80</v>
      </c>
      <c r="AL24" t="s">
        <v>80</v>
      </c>
      <c r="AM24" t="s">
        <v>81</v>
      </c>
      <c r="AN24">
        <v>4</v>
      </c>
      <c r="AO24">
        <v>5</v>
      </c>
      <c r="AP24">
        <v>1</v>
      </c>
      <c r="AQ24">
        <v>1</v>
      </c>
      <c r="AR24">
        <v>3</v>
      </c>
      <c r="AS24">
        <v>5</v>
      </c>
      <c r="AT24">
        <v>2</v>
      </c>
      <c r="AU24" t="s">
        <v>94</v>
      </c>
      <c r="AV24">
        <v>15</v>
      </c>
      <c r="AW24">
        <v>16</v>
      </c>
    </row>
    <row r="25" spans="10:49" x14ac:dyDescent="0.25">
      <c r="J25" t="s">
        <v>33</v>
      </c>
      <c r="L25" t="s">
        <v>24</v>
      </c>
      <c r="M25" t="str">
        <f>_xlfn.CONCAT(J17,"-",J18)</f>
        <v>Economics-Department</v>
      </c>
      <c r="P25">
        <v>24</v>
      </c>
      <c r="Q25" t="s">
        <v>68</v>
      </c>
      <c r="R25" t="s">
        <v>97</v>
      </c>
      <c r="S25">
        <v>16</v>
      </c>
      <c r="T25" t="s">
        <v>70</v>
      </c>
      <c r="U25" t="s">
        <v>88</v>
      </c>
      <c r="V25" t="s">
        <v>83</v>
      </c>
      <c r="W25" t="s">
        <v>90</v>
      </c>
      <c r="X25" t="s">
        <v>90</v>
      </c>
      <c r="Y25" t="s">
        <v>85</v>
      </c>
      <c r="Z25" t="s">
        <v>85</v>
      </c>
      <c r="AA25" t="s">
        <v>98</v>
      </c>
      <c r="AB25" t="s">
        <v>77</v>
      </c>
      <c r="AC25" t="s">
        <v>78</v>
      </c>
      <c r="AD25" t="s">
        <v>79</v>
      </c>
      <c r="AE25">
        <v>0</v>
      </c>
      <c r="AF25" t="s">
        <v>81</v>
      </c>
      <c r="AG25" t="s">
        <v>80</v>
      </c>
      <c r="AH25" t="s">
        <v>81</v>
      </c>
      <c r="AI25" t="s">
        <v>80</v>
      </c>
      <c r="AJ25" t="s">
        <v>80</v>
      </c>
      <c r="AK25" t="s">
        <v>80</v>
      </c>
      <c r="AL25" t="s">
        <v>80</v>
      </c>
      <c r="AM25" t="s">
        <v>81</v>
      </c>
      <c r="AN25">
        <v>5</v>
      </c>
      <c r="AO25">
        <v>4</v>
      </c>
      <c r="AP25">
        <v>4</v>
      </c>
      <c r="AQ25">
        <v>2</v>
      </c>
      <c r="AR25">
        <v>4</v>
      </c>
      <c r="AS25">
        <v>5</v>
      </c>
      <c r="AT25">
        <v>0</v>
      </c>
      <c r="AU25" t="s">
        <v>105</v>
      </c>
      <c r="AV25">
        <v>13</v>
      </c>
      <c r="AW25">
        <v>12</v>
      </c>
    </row>
    <row r="26" spans="10:49" x14ac:dyDescent="0.25">
      <c r="L26" t="s">
        <v>25</v>
      </c>
      <c r="M26" t="str">
        <f>REPT("Hello",3)</f>
        <v>HelloHelloHello</v>
      </c>
      <c r="P26">
        <v>25</v>
      </c>
      <c r="Q26" t="s">
        <v>68</v>
      </c>
      <c r="R26" t="s">
        <v>69</v>
      </c>
      <c r="S26">
        <v>15</v>
      </c>
      <c r="T26" t="s">
        <v>107</v>
      </c>
      <c r="U26" t="s">
        <v>71</v>
      </c>
      <c r="V26" t="s">
        <v>83</v>
      </c>
      <c r="W26" t="s">
        <v>90</v>
      </c>
      <c r="X26" t="s">
        <v>73</v>
      </c>
      <c r="Y26" t="s">
        <v>91</v>
      </c>
      <c r="Z26" t="s">
        <v>63</v>
      </c>
      <c r="AA26" t="s">
        <v>76</v>
      </c>
      <c r="AB26" t="s">
        <v>77</v>
      </c>
      <c r="AC26" t="s">
        <v>87</v>
      </c>
      <c r="AD26" t="s">
        <v>93</v>
      </c>
      <c r="AE26">
        <v>0</v>
      </c>
      <c r="AF26" t="s">
        <v>80</v>
      </c>
      <c r="AG26" t="s">
        <v>80</v>
      </c>
      <c r="AH26" t="s">
        <v>80</v>
      </c>
      <c r="AI26" t="s">
        <v>80</v>
      </c>
      <c r="AJ26" t="s">
        <v>80</v>
      </c>
      <c r="AK26" t="s">
        <v>80</v>
      </c>
      <c r="AL26" t="s">
        <v>80</v>
      </c>
      <c r="AM26" t="s">
        <v>81</v>
      </c>
      <c r="AN26">
        <v>4</v>
      </c>
      <c r="AO26">
        <v>3</v>
      </c>
      <c r="AP26">
        <v>2</v>
      </c>
      <c r="AQ26">
        <v>1</v>
      </c>
      <c r="AR26">
        <v>1</v>
      </c>
      <c r="AS26">
        <v>5</v>
      </c>
      <c r="AT26">
        <v>2</v>
      </c>
      <c r="AU26" t="s">
        <v>102</v>
      </c>
      <c r="AV26">
        <v>9</v>
      </c>
      <c r="AW26">
        <v>8</v>
      </c>
    </row>
    <row r="27" spans="10:49" x14ac:dyDescent="0.25">
      <c r="P27">
        <v>26</v>
      </c>
      <c r="Q27" t="s">
        <v>68</v>
      </c>
      <c r="R27" t="s">
        <v>69</v>
      </c>
      <c r="S27">
        <v>16</v>
      </c>
      <c r="T27" t="s">
        <v>70</v>
      </c>
      <c r="U27" t="s">
        <v>71</v>
      </c>
      <c r="V27" t="s">
        <v>83</v>
      </c>
      <c r="W27" t="s">
        <v>90</v>
      </c>
      <c r="X27" t="s">
        <v>90</v>
      </c>
      <c r="Y27" t="s">
        <v>91</v>
      </c>
      <c r="Z27" t="s">
        <v>91</v>
      </c>
      <c r="AA27" t="s">
        <v>92</v>
      </c>
      <c r="AB27" t="s">
        <v>77</v>
      </c>
      <c r="AC27" t="s">
        <v>87</v>
      </c>
      <c r="AD27" t="s">
        <v>104</v>
      </c>
      <c r="AE27">
        <v>2</v>
      </c>
      <c r="AF27" t="s">
        <v>81</v>
      </c>
      <c r="AG27" t="s">
        <v>80</v>
      </c>
      <c r="AH27" t="s">
        <v>80</v>
      </c>
      <c r="AI27" t="s">
        <v>81</v>
      </c>
      <c r="AJ27" t="s">
        <v>81</v>
      </c>
      <c r="AK27" t="s">
        <v>80</v>
      </c>
      <c r="AL27" t="s">
        <v>80</v>
      </c>
      <c r="AM27" t="s">
        <v>81</v>
      </c>
      <c r="AN27">
        <v>1</v>
      </c>
      <c r="AO27">
        <v>2</v>
      </c>
      <c r="AP27">
        <v>2</v>
      </c>
      <c r="AQ27">
        <v>1</v>
      </c>
      <c r="AR27">
        <v>3</v>
      </c>
      <c r="AS27">
        <v>5</v>
      </c>
      <c r="AT27">
        <v>14</v>
      </c>
      <c r="AU27" t="s">
        <v>96</v>
      </c>
      <c r="AV27">
        <v>9</v>
      </c>
      <c r="AW27">
        <v>8</v>
      </c>
    </row>
    <row r="28" spans="10:49" x14ac:dyDescent="0.25">
      <c r="L28" t="s">
        <v>26</v>
      </c>
      <c r="M28" t="b">
        <f>EXACT(J17,J23)</f>
        <v>1</v>
      </c>
      <c r="P28">
        <v>27</v>
      </c>
      <c r="Q28" t="s">
        <v>68</v>
      </c>
      <c r="R28" t="s">
        <v>97</v>
      </c>
      <c r="S28">
        <v>15</v>
      </c>
      <c r="T28" t="s">
        <v>70</v>
      </c>
      <c r="U28" t="s">
        <v>71</v>
      </c>
      <c r="V28" t="s">
        <v>83</v>
      </c>
      <c r="W28" t="s">
        <v>90</v>
      </c>
      <c r="X28" t="s">
        <v>90</v>
      </c>
      <c r="Y28" t="s">
        <v>85</v>
      </c>
      <c r="Z28" t="s">
        <v>85</v>
      </c>
      <c r="AA28" t="s">
        <v>92</v>
      </c>
      <c r="AB28" t="s">
        <v>77</v>
      </c>
      <c r="AC28" t="s">
        <v>87</v>
      </c>
      <c r="AD28" t="s">
        <v>104</v>
      </c>
      <c r="AE28">
        <v>0</v>
      </c>
      <c r="AF28" t="s">
        <v>81</v>
      </c>
      <c r="AG28" t="s">
        <v>80</v>
      </c>
      <c r="AH28" t="s">
        <v>80</v>
      </c>
      <c r="AI28" t="s">
        <v>81</v>
      </c>
      <c r="AJ28" t="s">
        <v>80</v>
      </c>
      <c r="AK28" t="s">
        <v>80</v>
      </c>
      <c r="AL28" t="s">
        <v>80</v>
      </c>
      <c r="AM28" t="s">
        <v>81</v>
      </c>
      <c r="AN28">
        <v>4</v>
      </c>
      <c r="AO28">
        <v>2</v>
      </c>
      <c r="AP28">
        <v>2</v>
      </c>
      <c r="AQ28">
        <v>1</v>
      </c>
      <c r="AR28">
        <v>2</v>
      </c>
      <c r="AS28">
        <v>5</v>
      </c>
      <c r="AT28">
        <v>2</v>
      </c>
      <c r="AU28" t="s">
        <v>99</v>
      </c>
      <c r="AV28">
        <v>12</v>
      </c>
      <c r="AW28">
        <v>11</v>
      </c>
    </row>
    <row r="29" spans="10:49" x14ac:dyDescent="0.25">
      <c r="L29" t="s">
        <v>27</v>
      </c>
      <c r="M29" t="str">
        <f>TRIM(J25)</f>
        <v>hi how are you</v>
      </c>
      <c r="P29">
        <v>28</v>
      </c>
      <c r="Q29" t="s">
        <v>68</v>
      </c>
      <c r="R29" t="s">
        <v>97</v>
      </c>
      <c r="S29">
        <v>15</v>
      </c>
      <c r="T29" t="s">
        <v>70</v>
      </c>
      <c r="U29" t="s">
        <v>71</v>
      </c>
      <c r="V29" t="s">
        <v>83</v>
      </c>
      <c r="W29" t="s">
        <v>73</v>
      </c>
      <c r="X29" t="s">
        <v>90</v>
      </c>
      <c r="Y29" t="s">
        <v>63</v>
      </c>
      <c r="Z29" t="s">
        <v>91</v>
      </c>
      <c r="AA29" t="s">
        <v>85</v>
      </c>
      <c r="AB29" t="s">
        <v>77</v>
      </c>
      <c r="AC29" t="s">
        <v>87</v>
      </c>
      <c r="AD29" t="s">
        <v>104</v>
      </c>
      <c r="AE29">
        <v>0</v>
      </c>
      <c r="AF29" t="s">
        <v>81</v>
      </c>
      <c r="AG29" t="s">
        <v>81</v>
      </c>
      <c r="AH29" t="s">
        <v>80</v>
      </c>
      <c r="AI29" t="s">
        <v>81</v>
      </c>
      <c r="AJ29" t="s">
        <v>80</v>
      </c>
      <c r="AK29" t="s">
        <v>80</v>
      </c>
      <c r="AL29" t="s">
        <v>80</v>
      </c>
      <c r="AM29" t="s">
        <v>81</v>
      </c>
      <c r="AN29">
        <v>2</v>
      </c>
      <c r="AO29">
        <v>2</v>
      </c>
      <c r="AP29">
        <v>4</v>
      </c>
      <c r="AQ29">
        <v>2</v>
      </c>
      <c r="AR29">
        <v>4</v>
      </c>
      <c r="AS29">
        <v>1</v>
      </c>
      <c r="AT29">
        <v>4</v>
      </c>
      <c r="AU29" t="s">
        <v>94</v>
      </c>
      <c r="AV29">
        <v>16</v>
      </c>
      <c r="AW29">
        <v>15</v>
      </c>
    </row>
    <row r="30" spans="10:49" x14ac:dyDescent="0.25">
      <c r="L30" t="s">
        <v>28</v>
      </c>
      <c r="P30">
        <v>29</v>
      </c>
      <c r="Q30" t="s">
        <v>68</v>
      </c>
      <c r="R30" t="s">
        <v>97</v>
      </c>
      <c r="S30">
        <v>16</v>
      </c>
      <c r="T30" t="s">
        <v>70</v>
      </c>
      <c r="U30" t="s">
        <v>88</v>
      </c>
      <c r="V30" t="s">
        <v>72</v>
      </c>
      <c r="W30" t="s">
        <v>95</v>
      </c>
      <c r="X30" t="s">
        <v>73</v>
      </c>
      <c r="Y30" t="s">
        <v>91</v>
      </c>
      <c r="Z30" t="s">
        <v>85</v>
      </c>
      <c r="AA30" t="s">
        <v>92</v>
      </c>
      <c r="AB30" t="s">
        <v>77</v>
      </c>
      <c r="AC30" t="s">
        <v>87</v>
      </c>
      <c r="AD30" t="s">
        <v>79</v>
      </c>
      <c r="AE30">
        <v>0</v>
      </c>
      <c r="AF30" t="s">
        <v>80</v>
      </c>
      <c r="AG30" t="s">
        <v>80</v>
      </c>
      <c r="AH30" t="s">
        <v>81</v>
      </c>
      <c r="AI30" t="s">
        <v>80</v>
      </c>
      <c r="AJ30" t="s">
        <v>80</v>
      </c>
      <c r="AK30" t="s">
        <v>80</v>
      </c>
      <c r="AL30" t="s">
        <v>80</v>
      </c>
      <c r="AM30" t="s">
        <v>81</v>
      </c>
      <c r="AN30">
        <v>5</v>
      </c>
      <c r="AO30">
        <v>3</v>
      </c>
      <c r="AP30">
        <v>3</v>
      </c>
      <c r="AQ30">
        <v>1</v>
      </c>
      <c r="AR30">
        <v>1</v>
      </c>
      <c r="AS30">
        <v>5</v>
      </c>
      <c r="AT30">
        <v>4</v>
      </c>
      <c r="AU30" t="s">
        <v>108</v>
      </c>
      <c r="AV30">
        <v>11</v>
      </c>
      <c r="AW30">
        <v>11</v>
      </c>
    </row>
    <row r="31" spans="10:49" x14ac:dyDescent="0.25">
      <c r="P31">
        <v>30</v>
      </c>
      <c r="Q31" t="s">
        <v>68</v>
      </c>
      <c r="R31" t="s">
        <v>97</v>
      </c>
      <c r="S31">
        <v>16</v>
      </c>
      <c r="T31" t="s">
        <v>70</v>
      </c>
      <c r="U31" t="s">
        <v>71</v>
      </c>
      <c r="V31" t="s">
        <v>83</v>
      </c>
      <c r="W31" t="s">
        <v>73</v>
      </c>
      <c r="X31" t="s">
        <v>73</v>
      </c>
      <c r="Y31" t="s">
        <v>75</v>
      </c>
      <c r="Z31" t="s">
        <v>75</v>
      </c>
      <c r="AA31" t="s">
        <v>92</v>
      </c>
      <c r="AB31" t="s">
        <v>77</v>
      </c>
      <c r="AC31" t="s">
        <v>87</v>
      </c>
      <c r="AD31" t="s">
        <v>79</v>
      </c>
      <c r="AE31">
        <v>0</v>
      </c>
      <c r="AF31" t="s">
        <v>81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>
        <v>4</v>
      </c>
      <c r="AO31">
        <v>4</v>
      </c>
      <c r="AP31">
        <v>5</v>
      </c>
      <c r="AQ31">
        <v>5</v>
      </c>
      <c r="AR31">
        <v>5</v>
      </c>
      <c r="AS31">
        <v>5</v>
      </c>
      <c r="AT31">
        <v>16</v>
      </c>
      <c r="AU31" t="s">
        <v>102</v>
      </c>
      <c r="AV31">
        <v>12</v>
      </c>
      <c r="AW31">
        <v>11</v>
      </c>
    </row>
    <row r="32" spans="10:49" x14ac:dyDescent="0.25">
      <c r="P32">
        <v>31</v>
      </c>
      <c r="Q32" t="s">
        <v>68</v>
      </c>
      <c r="R32" t="s">
        <v>97</v>
      </c>
      <c r="S32">
        <v>15</v>
      </c>
      <c r="T32" t="s">
        <v>70</v>
      </c>
      <c r="U32" t="s">
        <v>71</v>
      </c>
      <c r="V32" t="s">
        <v>83</v>
      </c>
      <c r="W32" t="s">
        <v>73</v>
      </c>
      <c r="X32" t="s">
        <v>73</v>
      </c>
      <c r="Y32" t="s">
        <v>63</v>
      </c>
      <c r="Z32" t="s">
        <v>91</v>
      </c>
      <c r="AA32" t="s">
        <v>92</v>
      </c>
      <c r="AB32" t="s">
        <v>77</v>
      </c>
      <c r="AC32" t="s">
        <v>87</v>
      </c>
      <c r="AD32" t="s">
        <v>79</v>
      </c>
      <c r="AE32">
        <v>0</v>
      </c>
      <c r="AF32" t="s">
        <v>81</v>
      </c>
      <c r="AG32" t="s">
        <v>80</v>
      </c>
      <c r="AH32" t="s">
        <v>80</v>
      </c>
      <c r="AI32" t="s">
        <v>81</v>
      </c>
      <c r="AJ32" t="s">
        <v>81</v>
      </c>
      <c r="AK32" t="s">
        <v>80</v>
      </c>
      <c r="AL32" t="s">
        <v>80</v>
      </c>
      <c r="AM32" t="s">
        <v>81</v>
      </c>
      <c r="AN32">
        <v>5</v>
      </c>
      <c r="AO32">
        <v>4</v>
      </c>
      <c r="AP32">
        <v>2</v>
      </c>
      <c r="AQ32">
        <v>3</v>
      </c>
      <c r="AR32">
        <v>4</v>
      </c>
      <c r="AS32">
        <v>5</v>
      </c>
      <c r="AT32">
        <v>0</v>
      </c>
      <c r="AU32" t="s">
        <v>109</v>
      </c>
      <c r="AV32">
        <v>11</v>
      </c>
      <c r="AW32">
        <v>12</v>
      </c>
    </row>
    <row r="33" spans="16:49" x14ac:dyDescent="0.25">
      <c r="P33">
        <v>32</v>
      </c>
      <c r="Q33" t="s">
        <v>68</v>
      </c>
      <c r="R33" t="s">
        <v>97</v>
      </c>
      <c r="S33">
        <v>15</v>
      </c>
      <c r="T33" t="s">
        <v>70</v>
      </c>
      <c r="U33" t="s">
        <v>71</v>
      </c>
      <c r="V33" t="s">
        <v>83</v>
      </c>
      <c r="W33" t="s">
        <v>73</v>
      </c>
      <c r="X33" t="s">
        <v>73</v>
      </c>
      <c r="Y33" t="s">
        <v>91</v>
      </c>
      <c r="Z33" t="s">
        <v>91</v>
      </c>
      <c r="AA33" t="s">
        <v>98</v>
      </c>
      <c r="AB33" t="s">
        <v>77</v>
      </c>
      <c r="AC33" t="s">
        <v>78</v>
      </c>
      <c r="AD33" t="s">
        <v>79</v>
      </c>
      <c r="AE33">
        <v>0</v>
      </c>
      <c r="AF33" t="s">
        <v>81</v>
      </c>
      <c r="AG33" t="s">
        <v>80</v>
      </c>
      <c r="AH33" t="s">
        <v>81</v>
      </c>
      <c r="AI33" t="s">
        <v>80</v>
      </c>
      <c r="AJ33" t="s">
        <v>80</v>
      </c>
      <c r="AK33" t="s">
        <v>80</v>
      </c>
      <c r="AL33" t="s">
        <v>80</v>
      </c>
      <c r="AM33" t="s">
        <v>81</v>
      </c>
      <c r="AN33">
        <v>4</v>
      </c>
      <c r="AO33">
        <v>3</v>
      </c>
      <c r="AP33">
        <v>1</v>
      </c>
      <c r="AQ33">
        <v>1</v>
      </c>
      <c r="AR33">
        <v>1</v>
      </c>
      <c r="AS33">
        <v>5</v>
      </c>
      <c r="AT33">
        <v>0</v>
      </c>
      <c r="AU33" t="s">
        <v>110</v>
      </c>
      <c r="AV33">
        <v>16</v>
      </c>
      <c r="AW33">
        <v>17</v>
      </c>
    </row>
    <row r="34" spans="16:49" x14ac:dyDescent="0.25">
      <c r="P34">
        <v>33</v>
      </c>
      <c r="Q34" t="s">
        <v>68</v>
      </c>
      <c r="R34" t="s">
        <v>97</v>
      </c>
      <c r="S34">
        <v>15</v>
      </c>
      <c r="T34" t="s">
        <v>107</v>
      </c>
      <c r="U34" t="s">
        <v>71</v>
      </c>
      <c r="V34" t="s">
        <v>83</v>
      </c>
      <c r="W34" t="s">
        <v>73</v>
      </c>
      <c r="X34" t="s">
        <v>95</v>
      </c>
      <c r="Y34" t="s">
        <v>75</v>
      </c>
      <c r="Z34" t="s">
        <v>74</v>
      </c>
      <c r="AA34" t="s">
        <v>76</v>
      </c>
      <c r="AB34" t="s">
        <v>77</v>
      </c>
      <c r="AC34" t="s">
        <v>87</v>
      </c>
      <c r="AD34" t="s">
        <v>79</v>
      </c>
      <c r="AE34">
        <v>0</v>
      </c>
      <c r="AF34" t="s">
        <v>81</v>
      </c>
      <c r="AG34" t="s">
        <v>80</v>
      </c>
      <c r="AH34" t="s">
        <v>81</v>
      </c>
      <c r="AI34" t="s">
        <v>80</v>
      </c>
      <c r="AJ34" t="s">
        <v>80</v>
      </c>
      <c r="AK34" t="s">
        <v>80</v>
      </c>
      <c r="AL34" t="s">
        <v>80</v>
      </c>
      <c r="AM34" t="s">
        <v>80</v>
      </c>
      <c r="AN34">
        <v>4</v>
      </c>
      <c r="AO34">
        <v>5</v>
      </c>
      <c r="AP34">
        <v>2</v>
      </c>
      <c r="AQ34">
        <v>1</v>
      </c>
      <c r="AR34">
        <v>1</v>
      </c>
      <c r="AS34">
        <v>5</v>
      </c>
      <c r="AT34">
        <v>0</v>
      </c>
      <c r="AU34" t="s">
        <v>110</v>
      </c>
      <c r="AV34">
        <v>16</v>
      </c>
      <c r="AW34">
        <v>16</v>
      </c>
    </row>
    <row r="35" spans="16:49" x14ac:dyDescent="0.25">
      <c r="P35">
        <v>34</v>
      </c>
      <c r="Q35" t="s">
        <v>68</v>
      </c>
      <c r="R35" t="s">
        <v>97</v>
      </c>
      <c r="S35">
        <v>15</v>
      </c>
      <c r="T35" t="s">
        <v>70</v>
      </c>
      <c r="U35" t="s">
        <v>88</v>
      </c>
      <c r="V35" t="s">
        <v>83</v>
      </c>
      <c r="W35" t="s">
        <v>95</v>
      </c>
      <c r="X35" t="s">
        <v>95</v>
      </c>
      <c r="Y35" t="s">
        <v>85</v>
      </c>
      <c r="Z35" t="s">
        <v>85</v>
      </c>
      <c r="AA35" t="s">
        <v>76</v>
      </c>
      <c r="AB35" t="s">
        <v>77</v>
      </c>
      <c r="AC35" t="s">
        <v>87</v>
      </c>
      <c r="AD35" t="s">
        <v>79</v>
      </c>
      <c r="AE35">
        <v>0</v>
      </c>
      <c r="AF35" t="s">
        <v>81</v>
      </c>
      <c r="AG35" t="s">
        <v>81</v>
      </c>
      <c r="AH35" t="s">
        <v>81</v>
      </c>
      <c r="AI35" t="s">
        <v>80</v>
      </c>
      <c r="AJ35" t="s">
        <v>81</v>
      </c>
      <c r="AK35" t="s">
        <v>80</v>
      </c>
      <c r="AL35" t="s">
        <v>80</v>
      </c>
      <c r="AM35" t="s">
        <v>81</v>
      </c>
      <c r="AN35">
        <v>5</v>
      </c>
      <c r="AO35">
        <v>3</v>
      </c>
      <c r="AP35">
        <v>2</v>
      </c>
      <c r="AQ35">
        <v>1</v>
      </c>
      <c r="AR35">
        <v>1</v>
      </c>
      <c r="AS35">
        <v>2</v>
      </c>
      <c r="AT35">
        <v>0</v>
      </c>
      <c r="AU35" t="s">
        <v>106</v>
      </c>
      <c r="AV35">
        <v>10</v>
      </c>
      <c r="AW35">
        <v>12</v>
      </c>
    </row>
    <row r="36" spans="16:49" x14ac:dyDescent="0.25">
      <c r="P36">
        <v>35</v>
      </c>
      <c r="Q36" t="s">
        <v>68</v>
      </c>
      <c r="R36" t="s">
        <v>97</v>
      </c>
      <c r="S36">
        <v>16</v>
      </c>
      <c r="T36" t="s">
        <v>70</v>
      </c>
      <c r="U36" t="s">
        <v>71</v>
      </c>
      <c r="V36" t="s">
        <v>83</v>
      </c>
      <c r="W36" t="s">
        <v>95</v>
      </c>
      <c r="X36" t="s">
        <v>90</v>
      </c>
      <c r="Y36" t="s">
        <v>85</v>
      </c>
      <c r="Z36" t="s">
        <v>85</v>
      </c>
      <c r="AA36" t="s">
        <v>92</v>
      </c>
      <c r="AB36" t="s">
        <v>77</v>
      </c>
      <c r="AC36" t="s">
        <v>87</v>
      </c>
      <c r="AD36" t="s">
        <v>104</v>
      </c>
      <c r="AE36">
        <v>0</v>
      </c>
      <c r="AF36" t="s">
        <v>81</v>
      </c>
      <c r="AG36" t="s">
        <v>80</v>
      </c>
      <c r="AH36" t="s">
        <v>80</v>
      </c>
      <c r="AI36" t="s">
        <v>81</v>
      </c>
      <c r="AJ36" t="s">
        <v>81</v>
      </c>
      <c r="AK36" t="s">
        <v>80</v>
      </c>
      <c r="AL36" t="s">
        <v>80</v>
      </c>
      <c r="AM36" t="s">
        <v>81</v>
      </c>
      <c r="AN36">
        <v>5</v>
      </c>
      <c r="AO36">
        <v>4</v>
      </c>
      <c r="AP36">
        <v>3</v>
      </c>
      <c r="AQ36">
        <v>1</v>
      </c>
      <c r="AR36">
        <v>1</v>
      </c>
      <c r="AS36">
        <v>5</v>
      </c>
      <c r="AT36">
        <v>0</v>
      </c>
      <c r="AU36" t="s">
        <v>99</v>
      </c>
      <c r="AV36">
        <v>14</v>
      </c>
      <c r="AW36">
        <v>15</v>
      </c>
    </row>
    <row r="37" spans="16:49" x14ac:dyDescent="0.25">
      <c r="P37">
        <v>36</v>
      </c>
      <c r="Q37" t="s">
        <v>68</v>
      </c>
      <c r="R37" t="s">
        <v>69</v>
      </c>
      <c r="S37">
        <v>15</v>
      </c>
      <c r="T37" t="s">
        <v>70</v>
      </c>
      <c r="U37" t="s">
        <v>71</v>
      </c>
      <c r="V37" t="s">
        <v>83</v>
      </c>
      <c r="W37" t="s">
        <v>90</v>
      </c>
      <c r="X37" t="s">
        <v>95</v>
      </c>
      <c r="Y37" t="s">
        <v>85</v>
      </c>
      <c r="Z37" t="s">
        <v>85</v>
      </c>
      <c r="AA37" t="s">
        <v>85</v>
      </c>
      <c r="AB37" t="s">
        <v>86</v>
      </c>
      <c r="AC37" t="s">
        <v>78</v>
      </c>
      <c r="AD37" t="s">
        <v>104</v>
      </c>
      <c r="AE37">
        <v>0</v>
      </c>
      <c r="AF37" t="s">
        <v>81</v>
      </c>
      <c r="AG37" t="s">
        <v>80</v>
      </c>
      <c r="AH37" t="s">
        <v>81</v>
      </c>
      <c r="AI37" t="s">
        <v>80</v>
      </c>
      <c r="AJ37" t="s">
        <v>80</v>
      </c>
      <c r="AK37" t="s">
        <v>80</v>
      </c>
      <c r="AL37" t="s">
        <v>81</v>
      </c>
      <c r="AM37" t="s">
        <v>81</v>
      </c>
      <c r="AN37">
        <v>3</v>
      </c>
      <c r="AO37">
        <v>5</v>
      </c>
      <c r="AP37">
        <v>1</v>
      </c>
      <c r="AQ37">
        <v>1</v>
      </c>
      <c r="AR37">
        <v>1</v>
      </c>
      <c r="AS37">
        <v>5</v>
      </c>
      <c r="AT37">
        <v>0</v>
      </c>
      <c r="AU37" t="s">
        <v>106</v>
      </c>
      <c r="AV37">
        <v>7</v>
      </c>
      <c r="AW37">
        <v>6</v>
      </c>
    </row>
    <row r="38" spans="16:49" x14ac:dyDescent="0.25">
      <c r="P38">
        <v>37</v>
      </c>
      <c r="Q38" t="s">
        <v>68</v>
      </c>
      <c r="R38" t="s">
        <v>97</v>
      </c>
      <c r="S38">
        <v>15</v>
      </c>
      <c r="T38" t="s">
        <v>70</v>
      </c>
      <c r="U38" t="s">
        <v>88</v>
      </c>
      <c r="V38" t="s">
        <v>83</v>
      </c>
      <c r="W38" t="s">
        <v>73</v>
      </c>
      <c r="X38" t="s">
        <v>95</v>
      </c>
      <c r="Y38" t="s">
        <v>75</v>
      </c>
      <c r="Z38" t="s">
        <v>91</v>
      </c>
      <c r="AA38" t="s">
        <v>92</v>
      </c>
      <c r="AB38" t="s">
        <v>77</v>
      </c>
      <c r="AC38" t="s">
        <v>87</v>
      </c>
      <c r="AD38" t="s">
        <v>93</v>
      </c>
      <c r="AE38">
        <v>0</v>
      </c>
      <c r="AF38" t="s">
        <v>81</v>
      </c>
      <c r="AG38" t="s">
        <v>80</v>
      </c>
      <c r="AH38" t="s">
        <v>81</v>
      </c>
      <c r="AI38" t="s">
        <v>80</v>
      </c>
      <c r="AJ38" t="s">
        <v>80</v>
      </c>
      <c r="AK38" t="s">
        <v>80</v>
      </c>
      <c r="AL38" t="s">
        <v>80</v>
      </c>
      <c r="AM38" t="s">
        <v>81</v>
      </c>
      <c r="AN38">
        <v>5</v>
      </c>
      <c r="AO38">
        <v>4</v>
      </c>
      <c r="AP38">
        <v>3</v>
      </c>
      <c r="AQ38">
        <v>1</v>
      </c>
      <c r="AR38">
        <v>1</v>
      </c>
      <c r="AS38">
        <v>4</v>
      </c>
      <c r="AT38">
        <v>2</v>
      </c>
      <c r="AU38" t="s">
        <v>94</v>
      </c>
      <c r="AV38">
        <v>16</v>
      </c>
      <c r="AW38">
        <v>18</v>
      </c>
    </row>
    <row r="39" spans="16:49" x14ac:dyDescent="0.25">
      <c r="P39">
        <v>38</v>
      </c>
      <c r="Q39" t="s">
        <v>68</v>
      </c>
      <c r="R39" t="s">
        <v>97</v>
      </c>
      <c r="S39">
        <v>16</v>
      </c>
      <c r="T39" t="s">
        <v>107</v>
      </c>
      <c r="U39" t="s">
        <v>71</v>
      </c>
      <c r="V39" t="s">
        <v>72</v>
      </c>
      <c r="W39" t="s">
        <v>73</v>
      </c>
      <c r="X39" t="s">
        <v>73</v>
      </c>
      <c r="Y39" t="s">
        <v>85</v>
      </c>
      <c r="Z39" t="s">
        <v>75</v>
      </c>
      <c r="AA39" t="s">
        <v>98</v>
      </c>
      <c r="AB39" t="s">
        <v>77</v>
      </c>
      <c r="AC39" t="s">
        <v>78</v>
      </c>
      <c r="AD39" t="s">
        <v>93</v>
      </c>
      <c r="AE39">
        <v>0</v>
      </c>
      <c r="AF39" t="s">
        <v>81</v>
      </c>
      <c r="AG39" t="s">
        <v>80</v>
      </c>
      <c r="AH39" t="s">
        <v>81</v>
      </c>
      <c r="AI39" t="s">
        <v>80</v>
      </c>
      <c r="AJ39" t="s">
        <v>80</v>
      </c>
      <c r="AK39" t="s">
        <v>80</v>
      </c>
      <c r="AL39" t="s">
        <v>80</v>
      </c>
      <c r="AM39" t="s">
        <v>80</v>
      </c>
      <c r="AN39">
        <v>2</v>
      </c>
      <c r="AO39">
        <v>4</v>
      </c>
      <c r="AP39">
        <v>3</v>
      </c>
      <c r="AQ39">
        <v>1</v>
      </c>
      <c r="AR39">
        <v>1</v>
      </c>
      <c r="AS39">
        <v>5</v>
      </c>
      <c r="AT39">
        <v>7</v>
      </c>
      <c r="AU39" t="s">
        <v>94</v>
      </c>
      <c r="AV39">
        <v>16</v>
      </c>
      <c r="AW39">
        <v>15</v>
      </c>
    </row>
    <row r="40" spans="16:49" x14ac:dyDescent="0.25">
      <c r="P40">
        <v>39</v>
      </c>
      <c r="Q40" t="s">
        <v>68</v>
      </c>
      <c r="R40" t="s">
        <v>69</v>
      </c>
      <c r="S40">
        <v>15</v>
      </c>
      <c r="T40" t="s">
        <v>107</v>
      </c>
      <c r="U40" t="s">
        <v>71</v>
      </c>
      <c r="V40" t="s">
        <v>83</v>
      </c>
      <c r="W40" t="s">
        <v>95</v>
      </c>
      <c r="X40" t="s">
        <v>73</v>
      </c>
      <c r="Y40" t="s">
        <v>91</v>
      </c>
      <c r="Z40" t="s">
        <v>63</v>
      </c>
      <c r="AA40" t="s">
        <v>76</v>
      </c>
      <c r="AB40" t="s">
        <v>77</v>
      </c>
      <c r="AC40" t="s">
        <v>87</v>
      </c>
      <c r="AD40" t="s">
        <v>93</v>
      </c>
      <c r="AE40">
        <v>0</v>
      </c>
      <c r="AF40" t="s">
        <v>80</v>
      </c>
      <c r="AG40" t="s">
        <v>80</v>
      </c>
      <c r="AH40" t="s">
        <v>80</v>
      </c>
      <c r="AI40" t="s">
        <v>80</v>
      </c>
      <c r="AJ40" t="s">
        <v>80</v>
      </c>
      <c r="AK40" t="s">
        <v>80</v>
      </c>
      <c r="AL40" t="s">
        <v>80</v>
      </c>
      <c r="AM40" t="s">
        <v>81</v>
      </c>
      <c r="AN40">
        <v>4</v>
      </c>
      <c r="AO40">
        <v>3</v>
      </c>
      <c r="AP40">
        <v>2</v>
      </c>
      <c r="AQ40">
        <v>1</v>
      </c>
      <c r="AR40">
        <v>1</v>
      </c>
      <c r="AS40">
        <v>5</v>
      </c>
      <c r="AT40">
        <v>2</v>
      </c>
      <c r="AU40" t="s">
        <v>99</v>
      </c>
      <c r="AV40">
        <v>12</v>
      </c>
      <c r="AW40">
        <v>11</v>
      </c>
    </row>
    <row r="41" spans="16:49" x14ac:dyDescent="0.25">
      <c r="P41">
        <v>40</v>
      </c>
      <c r="Q41" t="s">
        <v>68</v>
      </c>
      <c r="R41" t="s">
        <v>69</v>
      </c>
      <c r="S41">
        <v>15</v>
      </c>
      <c r="T41" t="s">
        <v>107</v>
      </c>
      <c r="U41" t="s">
        <v>71</v>
      </c>
      <c r="V41" t="s">
        <v>83</v>
      </c>
      <c r="W41" t="s">
        <v>90</v>
      </c>
      <c r="X41" t="s">
        <v>90</v>
      </c>
      <c r="Y41" t="s">
        <v>74</v>
      </c>
      <c r="Z41" t="s">
        <v>85</v>
      </c>
      <c r="AA41" t="s">
        <v>98</v>
      </c>
      <c r="AB41" t="s">
        <v>77</v>
      </c>
      <c r="AC41" t="s">
        <v>87</v>
      </c>
      <c r="AD41" t="s">
        <v>104</v>
      </c>
      <c r="AE41">
        <v>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 t="s">
        <v>80</v>
      </c>
      <c r="AL41" t="s">
        <v>81</v>
      </c>
      <c r="AM41" t="s">
        <v>81</v>
      </c>
      <c r="AN41">
        <v>4</v>
      </c>
      <c r="AO41">
        <v>3</v>
      </c>
      <c r="AP41">
        <v>1</v>
      </c>
      <c r="AQ41">
        <v>1</v>
      </c>
      <c r="AR41">
        <v>1</v>
      </c>
      <c r="AS41">
        <v>2</v>
      </c>
      <c r="AT41">
        <v>8</v>
      </c>
      <c r="AU41" t="s">
        <v>101</v>
      </c>
      <c r="AV41">
        <v>13</v>
      </c>
      <c r="AW41">
        <v>13</v>
      </c>
    </row>
    <row r="42" spans="16:49" x14ac:dyDescent="0.25">
      <c r="P42">
        <v>41</v>
      </c>
      <c r="Q42" t="s">
        <v>68</v>
      </c>
      <c r="R42" t="s">
        <v>69</v>
      </c>
      <c r="S42">
        <v>16</v>
      </c>
      <c r="T42" t="s">
        <v>70</v>
      </c>
      <c r="U42" t="s">
        <v>88</v>
      </c>
      <c r="V42" t="s">
        <v>83</v>
      </c>
      <c r="W42" t="s">
        <v>90</v>
      </c>
      <c r="X42" t="s">
        <v>90</v>
      </c>
      <c r="Y42" t="s">
        <v>85</v>
      </c>
      <c r="Z42" t="s">
        <v>85</v>
      </c>
      <c r="AA42" t="s">
        <v>92</v>
      </c>
      <c r="AB42" t="s">
        <v>77</v>
      </c>
      <c r="AC42" t="s">
        <v>78</v>
      </c>
      <c r="AD42" t="s">
        <v>79</v>
      </c>
      <c r="AE42">
        <v>1</v>
      </c>
      <c r="AF42" t="s">
        <v>81</v>
      </c>
      <c r="AG42" t="s">
        <v>80</v>
      </c>
      <c r="AH42" t="s">
        <v>81</v>
      </c>
      <c r="AI42" t="s">
        <v>80</v>
      </c>
      <c r="AJ42" t="s">
        <v>81</v>
      </c>
      <c r="AK42" t="s">
        <v>80</v>
      </c>
      <c r="AL42" t="s">
        <v>80</v>
      </c>
      <c r="AM42" t="s">
        <v>80</v>
      </c>
      <c r="AN42">
        <v>3</v>
      </c>
      <c r="AO42">
        <v>3</v>
      </c>
      <c r="AP42">
        <v>3</v>
      </c>
      <c r="AQ42">
        <v>1</v>
      </c>
      <c r="AR42">
        <v>2</v>
      </c>
      <c r="AS42">
        <v>3</v>
      </c>
      <c r="AT42">
        <v>25</v>
      </c>
      <c r="AU42" t="s">
        <v>89</v>
      </c>
      <c r="AV42">
        <v>10</v>
      </c>
      <c r="AW42">
        <v>11</v>
      </c>
    </row>
    <row r="43" spans="16:49" x14ac:dyDescent="0.25">
      <c r="P43">
        <v>42</v>
      </c>
      <c r="Q43" t="s">
        <v>68</v>
      </c>
      <c r="R43" t="s">
        <v>97</v>
      </c>
      <c r="S43">
        <v>15</v>
      </c>
      <c r="T43" t="s">
        <v>70</v>
      </c>
      <c r="U43" t="s">
        <v>88</v>
      </c>
      <c r="V43" t="s">
        <v>83</v>
      </c>
      <c r="W43" t="s">
        <v>73</v>
      </c>
      <c r="X43" t="s">
        <v>73</v>
      </c>
      <c r="Y43" t="s">
        <v>75</v>
      </c>
      <c r="Z43" t="s">
        <v>85</v>
      </c>
      <c r="AA43" t="s">
        <v>92</v>
      </c>
      <c r="AB43" t="s">
        <v>85</v>
      </c>
      <c r="AC43" t="s">
        <v>87</v>
      </c>
      <c r="AD43" t="s">
        <v>104</v>
      </c>
      <c r="AE43">
        <v>0</v>
      </c>
      <c r="AF43" t="s">
        <v>81</v>
      </c>
      <c r="AG43" t="s">
        <v>80</v>
      </c>
      <c r="AH43" t="s">
        <v>81</v>
      </c>
      <c r="AI43" t="s">
        <v>81</v>
      </c>
      <c r="AJ43" t="s">
        <v>81</v>
      </c>
      <c r="AK43" t="s">
        <v>80</v>
      </c>
      <c r="AL43" t="s">
        <v>80</v>
      </c>
      <c r="AM43" t="s">
        <v>80</v>
      </c>
      <c r="AN43">
        <v>5</v>
      </c>
      <c r="AO43">
        <v>4</v>
      </c>
      <c r="AP43">
        <v>3</v>
      </c>
      <c r="AQ43">
        <v>2</v>
      </c>
      <c r="AR43">
        <v>4</v>
      </c>
      <c r="AS43">
        <v>5</v>
      </c>
      <c r="AT43">
        <v>8</v>
      </c>
      <c r="AU43" t="s">
        <v>99</v>
      </c>
      <c r="AV43">
        <v>12</v>
      </c>
      <c r="AW43">
        <v>12</v>
      </c>
    </row>
    <row r="44" spans="16:49" x14ac:dyDescent="0.25">
      <c r="P44">
        <v>43</v>
      </c>
      <c r="Q44" t="s">
        <v>68</v>
      </c>
      <c r="R44" t="s">
        <v>97</v>
      </c>
      <c r="S44">
        <v>15</v>
      </c>
      <c r="T44" t="s">
        <v>70</v>
      </c>
      <c r="U44" t="s">
        <v>71</v>
      </c>
      <c r="V44" t="s">
        <v>83</v>
      </c>
      <c r="W44" t="s">
        <v>73</v>
      </c>
      <c r="X44" t="s">
        <v>73</v>
      </c>
      <c r="Y44" t="s">
        <v>91</v>
      </c>
      <c r="Z44" t="s">
        <v>75</v>
      </c>
      <c r="AA44" t="s">
        <v>76</v>
      </c>
      <c r="AB44" t="s">
        <v>86</v>
      </c>
      <c r="AC44" t="s">
        <v>87</v>
      </c>
      <c r="AD44" t="s">
        <v>79</v>
      </c>
      <c r="AE44">
        <v>0</v>
      </c>
      <c r="AF44" t="s">
        <v>81</v>
      </c>
      <c r="AG44" t="s">
        <v>80</v>
      </c>
      <c r="AH44" t="s">
        <v>81</v>
      </c>
      <c r="AI44" t="s">
        <v>80</v>
      </c>
      <c r="AJ44" t="s">
        <v>80</v>
      </c>
      <c r="AK44" t="s">
        <v>80</v>
      </c>
      <c r="AL44" t="s">
        <v>80</v>
      </c>
      <c r="AM44" t="s">
        <v>81</v>
      </c>
      <c r="AN44">
        <v>4</v>
      </c>
      <c r="AO44">
        <v>3</v>
      </c>
      <c r="AP44">
        <v>3</v>
      </c>
      <c r="AQ44">
        <v>1</v>
      </c>
      <c r="AR44">
        <v>1</v>
      </c>
      <c r="AS44">
        <v>5</v>
      </c>
      <c r="AT44">
        <v>2</v>
      </c>
      <c r="AU44" t="s">
        <v>111</v>
      </c>
      <c r="AV44">
        <v>18</v>
      </c>
      <c r="AW44">
        <v>18</v>
      </c>
    </row>
    <row r="45" spans="16:49" x14ac:dyDescent="0.25">
      <c r="P45">
        <v>44</v>
      </c>
      <c r="Q45" t="s">
        <v>68</v>
      </c>
      <c r="R45" t="s">
        <v>97</v>
      </c>
      <c r="S45">
        <v>15</v>
      </c>
      <c r="T45" t="s">
        <v>70</v>
      </c>
      <c r="U45" t="s">
        <v>71</v>
      </c>
      <c r="V45" t="s">
        <v>83</v>
      </c>
      <c r="W45" t="s">
        <v>90</v>
      </c>
      <c r="X45" t="s">
        <v>90</v>
      </c>
      <c r="Y45" t="s">
        <v>91</v>
      </c>
      <c r="Z45" t="s">
        <v>91</v>
      </c>
      <c r="AA45" t="s">
        <v>76</v>
      </c>
      <c r="AB45" t="s">
        <v>86</v>
      </c>
      <c r="AC45" t="s">
        <v>87</v>
      </c>
      <c r="AD45" t="s">
        <v>104</v>
      </c>
      <c r="AE45">
        <v>0</v>
      </c>
      <c r="AF45" t="s">
        <v>80</v>
      </c>
      <c r="AG45" t="s">
        <v>80</v>
      </c>
      <c r="AH45" t="s">
        <v>81</v>
      </c>
      <c r="AI45" t="s">
        <v>81</v>
      </c>
      <c r="AJ45" t="s">
        <v>80</v>
      </c>
      <c r="AK45" t="s">
        <v>80</v>
      </c>
      <c r="AL45" t="s">
        <v>80</v>
      </c>
      <c r="AM45" t="s">
        <v>81</v>
      </c>
      <c r="AN45">
        <v>5</v>
      </c>
      <c r="AO45">
        <v>4</v>
      </c>
      <c r="AP45">
        <v>1</v>
      </c>
      <c r="AQ45">
        <v>1</v>
      </c>
      <c r="AR45">
        <v>1</v>
      </c>
      <c r="AS45">
        <v>1</v>
      </c>
      <c r="AT45">
        <v>0</v>
      </c>
      <c r="AU45" t="s">
        <v>106</v>
      </c>
      <c r="AV45">
        <v>8</v>
      </c>
      <c r="AW45">
        <v>11</v>
      </c>
    </row>
    <row r="46" spans="16:49" x14ac:dyDescent="0.25">
      <c r="P46">
        <v>45</v>
      </c>
      <c r="Q46" t="s">
        <v>68</v>
      </c>
      <c r="R46" t="s">
        <v>69</v>
      </c>
      <c r="S46">
        <v>16</v>
      </c>
      <c r="T46" t="s">
        <v>70</v>
      </c>
      <c r="U46" t="s">
        <v>88</v>
      </c>
      <c r="V46" t="s">
        <v>83</v>
      </c>
      <c r="W46" t="s">
        <v>90</v>
      </c>
      <c r="X46" t="s">
        <v>90</v>
      </c>
      <c r="Y46" t="s">
        <v>85</v>
      </c>
      <c r="Z46" t="s">
        <v>74</v>
      </c>
      <c r="AA46" t="s">
        <v>76</v>
      </c>
      <c r="AB46" t="s">
        <v>86</v>
      </c>
      <c r="AC46" t="s">
        <v>78</v>
      </c>
      <c r="AD46" t="s">
        <v>79</v>
      </c>
      <c r="AE46">
        <v>1</v>
      </c>
      <c r="AF46" t="s">
        <v>80</v>
      </c>
      <c r="AG46" t="s">
        <v>81</v>
      </c>
      <c r="AH46" t="s">
        <v>81</v>
      </c>
      <c r="AI46" t="s">
        <v>80</v>
      </c>
      <c r="AJ46" t="s">
        <v>80</v>
      </c>
      <c r="AK46" t="s">
        <v>80</v>
      </c>
      <c r="AL46" t="s">
        <v>80</v>
      </c>
      <c r="AM46" t="s">
        <v>81</v>
      </c>
      <c r="AN46">
        <v>4</v>
      </c>
      <c r="AO46">
        <v>3</v>
      </c>
      <c r="AP46">
        <v>3</v>
      </c>
      <c r="AQ46">
        <v>2</v>
      </c>
      <c r="AR46">
        <v>2</v>
      </c>
      <c r="AS46">
        <v>5</v>
      </c>
      <c r="AT46">
        <v>14</v>
      </c>
      <c r="AU46" t="s">
        <v>102</v>
      </c>
      <c r="AV46">
        <v>10</v>
      </c>
      <c r="AW46">
        <v>9</v>
      </c>
    </row>
    <row r="47" spans="16:49" x14ac:dyDescent="0.25">
      <c r="P47">
        <v>46</v>
      </c>
      <c r="Q47" t="s">
        <v>68</v>
      </c>
      <c r="R47" t="s">
        <v>69</v>
      </c>
      <c r="S47">
        <v>15</v>
      </c>
      <c r="T47" t="s">
        <v>70</v>
      </c>
      <c r="U47" t="s">
        <v>88</v>
      </c>
      <c r="V47" t="s">
        <v>72</v>
      </c>
      <c r="W47" t="s">
        <v>73</v>
      </c>
      <c r="X47" t="s">
        <v>95</v>
      </c>
      <c r="Y47" t="s">
        <v>85</v>
      </c>
      <c r="Z47" t="s">
        <v>85</v>
      </c>
      <c r="AA47" t="s">
        <v>76</v>
      </c>
      <c r="AB47" t="s">
        <v>77</v>
      </c>
      <c r="AC47" t="s">
        <v>87</v>
      </c>
      <c r="AD47" t="s">
        <v>79</v>
      </c>
      <c r="AE47">
        <v>0</v>
      </c>
      <c r="AF47" t="s">
        <v>80</v>
      </c>
      <c r="AG47" t="s">
        <v>80</v>
      </c>
      <c r="AH47" t="s">
        <v>80</v>
      </c>
      <c r="AI47" t="s">
        <v>80</v>
      </c>
      <c r="AJ47" t="s">
        <v>80</v>
      </c>
      <c r="AK47" t="s">
        <v>80</v>
      </c>
      <c r="AL47" t="s">
        <v>80</v>
      </c>
      <c r="AM47" t="s">
        <v>80</v>
      </c>
      <c r="AN47">
        <v>5</v>
      </c>
      <c r="AO47">
        <v>2</v>
      </c>
      <c r="AP47">
        <v>2</v>
      </c>
      <c r="AQ47">
        <v>1</v>
      </c>
      <c r="AR47">
        <v>1</v>
      </c>
      <c r="AS47">
        <v>5</v>
      </c>
      <c r="AT47">
        <v>8</v>
      </c>
      <c r="AU47" t="s">
        <v>106</v>
      </c>
      <c r="AV47">
        <v>8</v>
      </c>
      <c r="AW47">
        <v>6</v>
      </c>
    </row>
    <row r="48" spans="16:49" x14ac:dyDescent="0.25">
      <c r="P48">
        <v>47</v>
      </c>
      <c r="Q48" t="s">
        <v>68</v>
      </c>
      <c r="R48" t="s">
        <v>69</v>
      </c>
      <c r="S48">
        <v>16</v>
      </c>
      <c r="T48" t="s">
        <v>70</v>
      </c>
      <c r="U48" t="s">
        <v>88</v>
      </c>
      <c r="V48" t="s">
        <v>72</v>
      </c>
      <c r="W48" t="s">
        <v>95</v>
      </c>
      <c r="X48" t="s">
        <v>95</v>
      </c>
      <c r="Y48" t="s">
        <v>85</v>
      </c>
      <c r="Z48" t="s">
        <v>91</v>
      </c>
      <c r="AA48" t="s">
        <v>92</v>
      </c>
      <c r="AB48" t="s">
        <v>77</v>
      </c>
      <c r="AC48" t="s">
        <v>87</v>
      </c>
      <c r="AD48" t="s">
        <v>79</v>
      </c>
      <c r="AE48">
        <v>0</v>
      </c>
      <c r="AF48" t="s">
        <v>81</v>
      </c>
      <c r="AG48" t="s">
        <v>80</v>
      </c>
      <c r="AH48" t="s">
        <v>81</v>
      </c>
      <c r="AI48" t="s">
        <v>81</v>
      </c>
      <c r="AJ48" t="s">
        <v>80</v>
      </c>
      <c r="AK48" t="s">
        <v>80</v>
      </c>
      <c r="AL48" t="s">
        <v>80</v>
      </c>
      <c r="AM48" t="s">
        <v>81</v>
      </c>
      <c r="AN48">
        <v>2</v>
      </c>
      <c r="AO48">
        <v>3</v>
      </c>
      <c r="AP48">
        <v>5</v>
      </c>
      <c r="AQ48">
        <v>1</v>
      </c>
      <c r="AR48">
        <v>4</v>
      </c>
      <c r="AS48">
        <v>3</v>
      </c>
      <c r="AT48">
        <v>12</v>
      </c>
      <c r="AU48" t="s">
        <v>108</v>
      </c>
      <c r="AV48">
        <v>12</v>
      </c>
      <c r="AW48">
        <v>11</v>
      </c>
    </row>
    <row r="49" spans="16:49" x14ac:dyDescent="0.25">
      <c r="P49">
        <v>48</v>
      </c>
      <c r="Q49" t="s">
        <v>68</v>
      </c>
      <c r="R49" t="s">
        <v>97</v>
      </c>
      <c r="S49">
        <v>16</v>
      </c>
      <c r="T49" t="s">
        <v>70</v>
      </c>
      <c r="U49" t="s">
        <v>71</v>
      </c>
      <c r="V49" t="s">
        <v>83</v>
      </c>
      <c r="W49" t="s">
        <v>73</v>
      </c>
      <c r="X49" t="s">
        <v>95</v>
      </c>
      <c r="Y49" t="s">
        <v>63</v>
      </c>
      <c r="Z49" t="s">
        <v>91</v>
      </c>
      <c r="AA49" t="s">
        <v>98</v>
      </c>
      <c r="AB49" t="s">
        <v>77</v>
      </c>
      <c r="AC49" t="s">
        <v>87</v>
      </c>
      <c r="AD49" t="s">
        <v>112</v>
      </c>
      <c r="AE49">
        <v>0</v>
      </c>
      <c r="AF49" t="s">
        <v>81</v>
      </c>
      <c r="AG49" t="s">
        <v>81</v>
      </c>
      <c r="AH49" t="s">
        <v>81</v>
      </c>
      <c r="AI49" t="s">
        <v>80</v>
      </c>
      <c r="AJ49" t="s">
        <v>80</v>
      </c>
      <c r="AK49" t="s">
        <v>80</v>
      </c>
      <c r="AL49" t="s">
        <v>80</v>
      </c>
      <c r="AM49" t="s">
        <v>81</v>
      </c>
      <c r="AN49">
        <v>4</v>
      </c>
      <c r="AO49">
        <v>2</v>
      </c>
      <c r="AP49">
        <v>2</v>
      </c>
      <c r="AQ49">
        <v>1</v>
      </c>
      <c r="AR49">
        <v>1</v>
      </c>
      <c r="AS49">
        <v>2</v>
      </c>
      <c r="AT49">
        <v>4</v>
      </c>
      <c r="AU49" t="s">
        <v>111</v>
      </c>
      <c r="AV49">
        <v>19</v>
      </c>
      <c r="AW49">
        <v>20</v>
      </c>
    </row>
    <row r="50" spans="16:49" x14ac:dyDescent="0.25">
      <c r="P50">
        <v>49</v>
      </c>
      <c r="Q50" t="s">
        <v>68</v>
      </c>
      <c r="R50" t="s">
        <v>97</v>
      </c>
      <c r="S50">
        <v>15</v>
      </c>
      <c r="T50" t="s">
        <v>70</v>
      </c>
      <c r="U50" t="s">
        <v>71</v>
      </c>
      <c r="V50" t="s">
        <v>83</v>
      </c>
      <c r="W50" t="s">
        <v>73</v>
      </c>
      <c r="X50" t="s">
        <v>90</v>
      </c>
      <c r="Y50" t="s">
        <v>75</v>
      </c>
      <c r="Z50" t="s">
        <v>85</v>
      </c>
      <c r="AA50" t="s">
        <v>92</v>
      </c>
      <c r="AB50" t="s">
        <v>77</v>
      </c>
      <c r="AC50" t="s">
        <v>87</v>
      </c>
      <c r="AD50" t="s">
        <v>79</v>
      </c>
      <c r="AE50">
        <v>0</v>
      </c>
      <c r="AF50" t="s">
        <v>81</v>
      </c>
      <c r="AG50" t="s">
        <v>80</v>
      </c>
      <c r="AH50" t="s">
        <v>80</v>
      </c>
      <c r="AI50" t="s">
        <v>81</v>
      </c>
      <c r="AJ50" t="s">
        <v>80</v>
      </c>
      <c r="AK50" t="s">
        <v>80</v>
      </c>
      <c r="AL50" t="s">
        <v>81</v>
      </c>
      <c r="AM50" t="s">
        <v>81</v>
      </c>
      <c r="AN50">
        <v>4</v>
      </c>
      <c r="AO50">
        <v>3</v>
      </c>
      <c r="AP50">
        <v>3</v>
      </c>
      <c r="AQ50">
        <v>2</v>
      </c>
      <c r="AR50">
        <v>2</v>
      </c>
      <c r="AS50">
        <v>5</v>
      </c>
      <c r="AT50">
        <v>2</v>
      </c>
      <c r="AU50" t="s">
        <v>94</v>
      </c>
      <c r="AV50">
        <v>15</v>
      </c>
      <c r="AW50">
        <v>14</v>
      </c>
    </row>
    <row r="51" spans="16:49" x14ac:dyDescent="0.25">
      <c r="P51">
        <v>50</v>
      </c>
      <c r="Q51" t="s">
        <v>68</v>
      </c>
      <c r="R51" t="s">
        <v>69</v>
      </c>
      <c r="S51">
        <v>15</v>
      </c>
      <c r="T51" t="s">
        <v>70</v>
      </c>
      <c r="U51" t="s">
        <v>71</v>
      </c>
      <c r="V51" t="s">
        <v>83</v>
      </c>
      <c r="W51" t="s">
        <v>73</v>
      </c>
      <c r="X51" t="s">
        <v>73</v>
      </c>
      <c r="Y51" t="s">
        <v>91</v>
      </c>
      <c r="Z51" t="s">
        <v>75</v>
      </c>
      <c r="AA51" t="s">
        <v>85</v>
      </c>
      <c r="AB51" t="s">
        <v>86</v>
      </c>
      <c r="AC51" t="s">
        <v>87</v>
      </c>
      <c r="AD51" t="s">
        <v>79</v>
      </c>
      <c r="AE51">
        <v>1</v>
      </c>
      <c r="AF51" t="s">
        <v>80</v>
      </c>
      <c r="AG51" t="s">
        <v>80</v>
      </c>
      <c r="AH51" t="s">
        <v>81</v>
      </c>
      <c r="AI51" t="s">
        <v>80</v>
      </c>
      <c r="AJ51" t="s">
        <v>81</v>
      </c>
      <c r="AK51" t="s">
        <v>80</v>
      </c>
      <c r="AL51" t="s">
        <v>80</v>
      </c>
      <c r="AM51" t="s">
        <v>81</v>
      </c>
      <c r="AN51">
        <v>4</v>
      </c>
      <c r="AO51">
        <v>4</v>
      </c>
      <c r="AP51">
        <v>4</v>
      </c>
      <c r="AQ51">
        <v>1</v>
      </c>
      <c r="AR51">
        <v>1</v>
      </c>
      <c r="AS51">
        <v>3</v>
      </c>
      <c r="AT51">
        <v>2</v>
      </c>
      <c r="AU51" t="s">
        <v>89</v>
      </c>
      <c r="AV51">
        <v>7</v>
      </c>
      <c r="AW51">
        <v>7</v>
      </c>
    </row>
    <row r="52" spans="16:49" x14ac:dyDescent="0.25">
      <c r="P52">
        <v>51</v>
      </c>
      <c r="Q52" t="s">
        <v>68</v>
      </c>
      <c r="R52" t="s">
        <v>69</v>
      </c>
      <c r="S52">
        <v>16</v>
      </c>
      <c r="T52" t="s">
        <v>70</v>
      </c>
      <c r="U52" t="s">
        <v>88</v>
      </c>
      <c r="V52" t="s">
        <v>83</v>
      </c>
      <c r="W52" t="s">
        <v>90</v>
      </c>
      <c r="X52" t="s">
        <v>90</v>
      </c>
      <c r="Y52" t="s">
        <v>91</v>
      </c>
      <c r="Z52" t="s">
        <v>91</v>
      </c>
      <c r="AA52" t="s">
        <v>76</v>
      </c>
      <c r="AB52" t="s">
        <v>77</v>
      </c>
      <c r="AC52" t="s">
        <v>103</v>
      </c>
      <c r="AD52" t="s">
        <v>79</v>
      </c>
      <c r="AE52">
        <v>0</v>
      </c>
      <c r="AF52" t="s">
        <v>81</v>
      </c>
      <c r="AG52" t="s">
        <v>80</v>
      </c>
      <c r="AH52" t="s">
        <v>80</v>
      </c>
      <c r="AI52" t="s">
        <v>81</v>
      </c>
      <c r="AJ52" t="s">
        <v>80</v>
      </c>
      <c r="AK52" t="s">
        <v>80</v>
      </c>
      <c r="AL52" t="s">
        <v>80</v>
      </c>
      <c r="AM52" t="s">
        <v>81</v>
      </c>
      <c r="AN52">
        <v>4</v>
      </c>
      <c r="AO52">
        <v>3</v>
      </c>
      <c r="AP52">
        <v>3</v>
      </c>
      <c r="AQ52">
        <v>2</v>
      </c>
      <c r="AR52">
        <v>3</v>
      </c>
      <c r="AS52">
        <v>4</v>
      </c>
      <c r="AT52">
        <v>2</v>
      </c>
      <c r="AU52" t="s">
        <v>99</v>
      </c>
      <c r="AV52">
        <v>13</v>
      </c>
      <c r="AW52">
        <v>13</v>
      </c>
    </row>
    <row r="53" spans="16:49" x14ac:dyDescent="0.25">
      <c r="P53">
        <v>52</v>
      </c>
      <c r="Q53" t="s">
        <v>68</v>
      </c>
      <c r="R53" t="s">
        <v>69</v>
      </c>
      <c r="S53">
        <v>15</v>
      </c>
      <c r="T53" t="s">
        <v>70</v>
      </c>
      <c r="U53" t="s">
        <v>88</v>
      </c>
      <c r="V53" t="s">
        <v>83</v>
      </c>
      <c r="W53" t="s">
        <v>73</v>
      </c>
      <c r="X53" t="s">
        <v>90</v>
      </c>
      <c r="Y53" t="s">
        <v>63</v>
      </c>
      <c r="Z53" t="s">
        <v>85</v>
      </c>
      <c r="AA53" t="s">
        <v>85</v>
      </c>
      <c r="AB53" t="s">
        <v>77</v>
      </c>
      <c r="AC53" t="s">
        <v>87</v>
      </c>
      <c r="AD53" t="s">
        <v>79</v>
      </c>
      <c r="AE53">
        <v>0</v>
      </c>
      <c r="AF53" t="s">
        <v>81</v>
      </c>
      <c r="AG53" t="s">
        <v>80</v>
      </c>
      <c r="AH53" t="s">
        <v>80</v>
      </c>
      <c r="AI53" t="s">
        <v>81</v>
      </c>
      <c r="AJ53" t="s">
        <v>80</v>
      </c>
      <c r="AK53" t="s">
        <v>80</v>
      </c>
      <c r="AL53" t="s">
        <v>80</v>
      </c>
      <c r="AM53" t="s">
        <v>81</v>
      </c>
      <c r="AN53">
        <v>4</v>
      </c>
      <c r="AO53">
        <v>3</v>
      </c>
      <c r="AP53">
        <v>3</v>
      </c>
      <c r="AQ53">
        <v>1</v>
      </c>
      <c r="AR53">
        <v>1</v>
      </c>
      <c r="AS53">
        <v>5</v>
      </c>
      <c r="AT53">
        <v>2</v>
      </c>
      <c r="AU53" t="s">
        <v>108</v>
      </c>
      <c r="AV53">
        <v>13</v>
      </c>
      <c r="AW53">
        <v>13</v>
      </c>
    </row>
    <row r="54" spans="16:49" x14ac:dyDescent="0.25">
      <c r="P54">
        <v>53</v>
      </c>
      <c r="Q54" t="s">
        <v>68</v>
      </c>
      <c r="R54" t="s">
        <v>97</v>
      </c>
      <c r="S54">
        <v>15</v>
      </c>
      <c r="T54" t="s">
        <v>70</v>
      </c>
      <c r="U54" t="s">
        <v>88</v>
      </c>
      <c r="V54" t="s">
        <v>72</v>
      </c>
      <c r="W54" t="s">
        <v>73</v>
      </c>
      <c r="X54" t="s">
        <v>90</v>
      </c>
      <c r="Y54" t="s">
        <v>63</v>
      </c>
      <c r="Z54" t="s">
        <v>63</v>
      </c>
      <c r="AA54" t="s">
        <v>85</v>
      </c>
      <c r="AB54" t="s">
        <v>86</v>
      </c>
      <c r="AC54" t="s">
        <v>78</v>
      </c>
      <c r="AD54" t="s">
        <v>104</v>
      </c>
      <c r="AE54">
        <v>1</v>
      </c>
      <c r="AF54" t="s">
        <v>81</v>
      </c>
      <c r="AG54" t="s">
        <v>81</v>
      </c>
      <c r="AH54" t="s">
        <v>81</v>
      </c>
      <c r="AI54" t="s">
        <v>81</v>
      </c>
      <c r="AJ54" t="s">
        <v>80</v>
      </c>
      <c r="AK54" t="s">
        <v>80</v>
      </c>
      <c r="AL54" t="s">
        <v>81</v>
      </c>
      <c r="AM54" t="s">
        <v>81</v>
      </c>
      <c r="AN54">
        <v>5</v>
      </c>
      <c r="AO54">
        <v>5</v>
      </c>
      <c r="AP54">
        <v>5</v>
      </c>
      <c r="AQ54">
        <v>3</v>
      </c>
      <c r="AR54">
        <v>4</v>
      </c>
      <c r="AS54">
        <v>5</v>
      </c>
      <c r="AT54">
        <v>6</v>
      </c>
      <c r="AU54" t="s">
        <v>108</v>
      </c>
      <c r="AV54">
        <v>11</v>
      </c>
      <c r="AW54">
        <v>10</v>
      </c>
    </row>
    <row r="55" spans="16:49" x14ac:dyDescent="0.25">
      <c r="P55">
        <v>54</v>
      </c>
      <c r="Q55" t="s">
        <v>68</v>
      </c>
      <c r="R55" t="s">
        <v>69</v>
      </c>
      <c r="S55">
        <v>15</v>
      </c>
      <c r="T55" t="s">
        <v>70</v>
      </c>
      <c r="U55" t="s">
        <v>71</v>
      </c>
      <c r="V55" t="s">
        <v>83</v>
      </c>
      <c r="W55" t="s">
        <v>73</v>
      </c>
      <c r="X55" t="s">
        <v>73</v>
      </c>
      <c r="Y55" t="s">
        <v>91</v>
      </c>
      <c r="Z55" t="s">
        <v>91</v>
      </c>
      <c r="AA55" t="s">
        <v>76</v>
      </c>
      <c r="AB55" t="s">
        <v>77</v>
      </c>
      <c r="AC55" t="s">
        <v>87</v>
      </c>
      <c r="AD55" t="s">
        <v>104</v>
      </c>
      <c r="AE55">
        <v>0</v>
      </c>
      <c r="AF55" t="s">
        <v>80</v>
      </c>
      <c r="AG55" t="s">
        <v>80</v>
      </c>
      <c r="AH55" t="s">
        <v>80</v>
      </c>
      <c r="AI55" t="s">
        <v>81</v>
      </c>
      <c r="AJ55" t="s">
        <v>80</v>
      </c>
      <c r="AK55" t="s">
        <v>80</v>
      </c>
      <c r="AL55" t="s">
        <v>80</v>
      </c>
      <c r="AM55" t="s">
        <v>81</v>
      </c>
      <c r="AN55">
        <v>3</v>
      </c>
      <c r="AO55">
        <v>3</v>
      </c>
      <c r="AP55">
        <v>4</v>
      </c>
      <c r="AQ55">
        <v>2</v>
      </c>
      <c r="AR55">
        <v>3</v>
      </c>
      <c r="AS55">
        <v>5</v>
      </c>
      <c r="AT55">
        <v>0</v>
      </c>
      <c r="AU55" t="s">
        <v>106</v>
      </c>
      <c r="AV55">
        <v>10</v>
      </c>
      <c r="AW55">
        <v>11</v>
      </c>
    </row>
    <row r="56" spans="16:49" x14ac:dyDescent="0.25">
      <c r="P56">
        <v>55</v>
      </c>
      <c r="Q56" t="s">
        <v>68</v>
      </c>
      <c r="R56" t="s">
        <v>69</v>
      </c>
      <c r="S56">
        <v>15</v>
      </c>
      <c r="T56" t="s">
        <v>70</v>
      </c>
      <c r="U56" t="s">
        <v>88</v>
      </c>
      <c r="V56" t="s">
        <v>72</v>
      </c>
      <c r="W56" t="s">
        <v>95</v>
      </c>
      <c r="X56" t="s">
        <v>95</v>
      </c>
      <c r="Y56" t="s">
        <v>85</v>
      </c>
      <c r="Z56" t="s">
        <v>85</v>
      </c>
      <c r="AA56" t="s">
        <v>85</v>
      </c>
      <c r="AB56" t="s">
        <v>77</v>
      </c>
      <c r="AC56" t="s">
        <v>87</v>
      </c>
      <c r="AD56" t="s">
        <v>104</v>
      </c>
      <c r="AE56">
        <v>0</v>
      </c>
      <c r="AF56" t="s">
        <v>81</v>
      </c>
      <c r="AG56" t="s">
        <v>81</v>
      </c>
      <c r="AH56" t="s">
        <v>80</v>
      </c>
      <c r="AI56" t="s">
        <v>81</v>
      </c>
      <c r="AJ56" t="s">
        <v>80</v>
      </c>
      <c r="AK56" t="s">
        <v>80</v>
      </c>
      <c r="AL56" t="s">
        <v>80</v>
      </c>
      <c r="AM56" t="s">
        <v>81</v>
      </c>
      <c r="AN56">
        <v>5</v>
      </c>
      <c r="AO56">
        <v>3</v>
      </c>
      <c r="AP56">
        <v>4</v>
      </c>
      <c r="AQ56">
        <v>4</v>
      </c>
      <c r="AR56">
        <v>4</v>
      </c>
      <c r="AS56">
        <v>1</v>
      </c>
      <c r="AT56">
        <v>6</v>
      </c>
      <c r="AU56" t="s">
        <v>102</v>
      </c>
      <c r="AV56">
        <v>13</v>
      </c>
      <c r="AW56">
        <v>13</v>
      </c>
    </row>
    <row r="57" spans="16:49" x14ac:dyDescent="0.25">
      <c r="P57">
        <v>56</v>
      </c>
      <c r="Q57" t="s">
        <v>68</v>
      </c>
      <c r="R57" t="s">
        <v>69</v>
      </c>
      <c r="S57">
        <v>16</v>
      </c>
      <c r="T57" t="s">
        <v>70</v>
      </c>
      <c r="U57" t="s">
        <v>71</v>
      </c>
      <c r="V57" t="s">
        <v>72</v>
      </c>
      <c r="W57" t="s">
        <v>90</v>
      </c>
      <c r="X57" t="s">
        <v>84</v>
      </c>
      <c r="Y57" t="s">
        <v>85</v>
      </c>
      <c r="Z57" t="s">
        <v>85</v>
      </c>
      <c r="AA57" t="s">
        <v>85</v>
      </c>
      <c r="AB57" t="s">
        <v>77</v>
      </c>
      <c r="AC57" t="s">
        <v>87</v>
      </c>
      <c r="AD57" t="s">
        <v>79</v>
      </c>
      <c r="AE57">
        <v>0</v>
      </c>
      <c r="AF57" t="s">
        <v>81</v>
      </c>
      <c r="AG57" t="s">
        <v>81</v>
      </c>
      <c r="AH57" t="s">
        <v>80</v>
      </c>
      <c r="AI57" t="s">
        <v>80</v>
      </c>
      <c r="AJ57" t="s">
        <v>80</v>
      </c>
      <c r="AK57" t="s">
        <v>80</v>
      </c>
      <c r="AL57" t="s">
        <v>80</v>
      </c>
      <c r="AM57" t="s">
        <v>80</v>
      </c>
      <c r="AN57">
        <v>5</v>
      </c>
      <c r="AO57">
        <v>3</v>
      </c>
      <c r="AP57">
        <v>4</v>
      </c>
      <c r="AQ57">
        <v>1</v>
      </c>
      <c r="AR57">
        <v>1</v>
      </c>
      <c r="AS57">
        <v>2</v>
      </c>
      <c r="AT57">
        <v>8</v>
      </c>
      <c r="AU57" t="s">
        <v>106</v>
      </c>
      <c r="AV57">
        <v>9</v>
      </c>
      <c r="AW57">
        <v>10</v>
      </c>
    </row>
    <row r="58" spans="16:49" x14ac:dyDescent="0.25">
      <c r="P58">
        <v>57</v>
      </c>
      <c r="Q58" t="s">
        <v>68</v>
      </c>
      <c r="R58" t="s">
        <v>69</v>
      </c>
      <c r="S58">
        <v>15</v>
      </c>
      <c r="T58" t="s">
        <v>70</v>
      </c>
      <c r="U58" t="s">
        <v>71</v>
      </c>
      <c r="V58" t="s">
        <v>72</v>
      </c>
      <c r="W58" t="s">
        <v>73</v>
      </c>
      <c r="X58" t="s">
        <v>95</v>
      </c>
      <c r="Y58" t="s">
        <v>91</v>
      </c>
      <c r="Z58" t="s">
        <v>91</v>
      </c>
      <c r="AA58" t="s">
        <v>98</v>
      </c>
      <c r="AB58" t="s">
        <v>77</v>
      </c>
      <c r="AC58" t="s">
        <v>87</v>
      </c>
      <c r="AD58" t="s">
        <v>79</v>
      </c>
      <c r="AE58">
        <v>0</v>
      </c>
      <c r="AF58" t="s">
        <v>81</v>
      </c>
      <c r="AG58" t="s">
        <v>80</v>
      </c>
      <c r="AH58" t="s">
        <v>80</v>
      </c>
      <c r="AI58" t="s">
        <v>80</v>
      </c>
      <c r="AJ58" t="s">
        <v>80</v>
      </c>
      <c r="AK58" t="s">
        <v>80</v>
      </c>
      <c r="AL58" t="s">
        <v>80</v>
      </c>
      <c r="AM58" t="s">
        <v>81</v>
      </c>
      <c r="AN58">
        <v>4</v>
      </c>
      <c r="AO58">
        <v>3</v>
      </c>
      <c r="AP58">
        <v>2</v>
      </c>
      <c r="AQ58">
        <v>1</v>
      </c>
      <c r="AR58">
        <v>1</v>
      </c>
      <c r="AS58">
        <v>1</v>
      </c>
      <c r="AT58">
        <v>0</v>
      </c>
      <c r="AU58" t="s">
        <v>101</v>
      </c>
      <c r="AV58">
        <v>15</v>
      </c>
      <c r="AW58">
        <v>15</v>
      </c>
    </row>
    <row r="59" spans="16:49" x14ac:dyDescent="0.25">
      <c r="P59">
        <v>58</v>
      </c>
      <c r="Q59" t="s">
        <v>68</v>
      </c>
      <c r="R59" t="s">
        <v>97</v>
      </c>
      <c r="S59">
        <v>15</v>
      </c>
      <c r="T59" t="s">
        <v>70</v>
      </c>
      <c r="U59" t="s">
        <v>71</v>
      </c>
      <c r="V59" t="s">
        <v>83</v>
      </c>
      <c r="W59" t="s">
        <v>73</v>
      </c>
      <c r="X59" t="s">
        <v>73</v>
      </c>
      <c r="Y59" t="s">
        <v>75</v>
      </c>
      <c r="Z59" t="s">
        <v>63</v>
      </c>
      <c r="AA59" t="s">
        <v>98</v>
      </c>
      <c r="AB59" t="s">
        <v>77</v>
      </c>
      <c r="AC59" t="s">
        <v>87</v>
      </c>
      <c r="AD59" t="s">
        <v>79</v>
      </c>
      <c r="AE59">
        <v>0</v>
      </c>
      <c r="AF59" t="s">
        <v>81</v>
      </c>
      <c r="AG59" t="s">
        <v>80</v>
      </c>
      <c r="AH59" t="s">
        <v>81</v>
      </c>
      <c r="AI59" t="s">
        <v>80</v>
      </c>
      <c r="AJ59" t="s">
        <v>80</v>
      </c>
      <c r="AK59" t="s">
        <v>80</v>
      </c>
      <c r="AL59" t="s">
        <v>81</v>
      </c>
      <c r="AM59" t="s">
        <v>81</v>
      </c>
      <c r="AN59">
        <v>3</v>
      </c>
      <c r="AO59">
        <v>2</v>
      </c>
      <c r="AP59">
        <v>2</v>
      </c>
      <c r="AQ59">
        <v>1</v>
      </c>
      <c r="AR59">
        <v>1</v>
      </c>
      <c r="AS59">
        <v>5</v>
      </c>
      <c r="AT59">
        <v>4</v>
      </c>
      <c r="AU59" t="s">
        <v>101</v>
      </c>
      <c r="AV59">
        <v>15</v>
      </c>
      <c r="AW59">
        <v>15</v>
      </c>
    </row>
    <row r="60" spans="16:49" x14ac:dyDescent="0.25">
      <c r="P60">
        <v>59</v>
      </c>
      <c r="Q60" t="s">
        <v>68</v>
      </c>
      <c r="R60" t="s">
        <v>97</v>
      </c>
      <c r="S60">
        <v>15</v>
      </c>
      <c r="T60" t="s">
        <v>70</v>
      </c>
      <c r="U60" t="s">
        <v>88</v>
      </c>
      <c r="V60" t="s">
        <v>83</v>
      </c>
      <c r="W60" t="s">
        <v>84</v>
      </c>
      <c r="X60" t="s">
        <v>90</v>
      </c>
      <c r="Y60" t="s">
        <v>85</v>
      </c>
      <c r="Z60" t="s">
        <v>74</v>
      </c>
      <c r="AA60" t="s">
        <v>92</v>
      </c>
      <c r="AB60" t="s">
        <v>86</v>
      </c>
      <c r="AC60" t="s">
        <v>87</v>
      </c>
      <c r="AD60" t="s">
        <v>79</v>
      </c>
      <c r="AE60">
        <v>0</v>
      </c>
      <c r="AF60" t="s">
        <v>80</v>
      </c>
      <c r="AG60" t="s">
        <v>80</v>
      </c>
      <c r="AH60" t="s">
        <v>81</v>
      </c>
      <c r="AI60" t="s">
        <v>80</v>
      </c>
      <c r="AJ60" t="s">
        <v>80</v>
      </c>
      <c r="AK60" t="s">
        <v>80</v>
      </c>
      <c r="AL60" t="s">
        <v>80</v>
      </c>
      <c r="AM60" t="s">
        <v>81</v>
      </c>
      <c r="AN60">
        <v>4</v>
      </c>
      <c r="AO60">
        <v>3</v>
      </c>
      <c r="AP60">
        <v>2</v>
      </c>
      <c r="AQ60">
        <v>1</v>
      </c>
      <c r="AR60">
        <v>1</v>
      </c>
      <c r="AS60">
        <v>5</v>
      </c>
      <c r="AT60">
        <v>2</v>
      </c>
      <c r="AU60" t="s">
        <v>109</v>
      </c>
      <c r="AV60">
        <v>10</v>
      </c>
      <c r="AW60">
        <v>9</v>
      </c>
    </row>
    <row r="61" spans="16:49" x14ac:dyDescent="0.25">
      <c r="P61">
        <v>60</v>
      </c>
      <c r="Q61" t="s">
        <v>68</v>
      </c>
      <c r="R61" t="s">
        <v>69</v>
      </c>
      <c r="S61">
        <v>16</v>
      </c>
      <c r="T61" t="s">
        <v>70</v>
      </c>
      <c r="U61" t="s">
        <v>71</v>
      </c>
      <c r="V61" t="s">
        <v>83</v>
      </c>
      <c r="W61" t="s">
        <v>73</v>
      </c>
      <c r="X61" t="s">
        <v>90</v>
      </c>
      <c r="Y61" t="s">
        <v>91</v>
      </c>
      <c r="Z61" t="s">
        <v>85</v>
      </c>
      <c r="AA61" t="s">
        <v>76</v>
      </c>
      <c r="AB61" t="s">
        <v>77</v>
      </c>
      <c r="AC61" t="s">
        <v>87</v>
      </c>
      <c r="AD61" t="s">
        <v>79</v>
      </c>
      <c r="AE61">
        <v>0</v>
      </c>
      <c r="AF61" t="s">
        <v>81</v>
      </c>
      <c r="AG61" t="s">
        <v>80</v>
      </c>
      <c r="AH61" t="s">
        <v>81</v>
      </c>
      <c r="AI61" t="s">
        <v>81</v>
      </c>
      <c r="AJ61" t="s">
        <v>80</v>
      </c>
      <c r="AK61" t="s">
        <v>80</v>
      </c>
      <c r="AL61" t="s">
        <v>80</v>
      </c>
      <c r="AM61" t="s">
        <v>81</v>
      </c>
      <c r="AN61">
        <v>4</v>
      </c>
      <c r="AO61">
        <v>2</v>
      </c>
      <c r="AP61">
        <v>3</v>
      </c>
      <c r="AQ61">
        <v>1</v>
      </c>
      <c r="AR61">
        <v>1</v>
      </c>
      <c r="AS61">
        <v>5</v>
      </c>
      <c r="AT61">
        <v>2</v>
      </c>
      <c r="AU61" t="s">
        <v>94</v>
      </c>
      <c r="AV61">
        <v>16</v>
      </c>
      <c r="AW61">
        <v>16</v>
      </c>
    </row>
    <row r="62" spans="16:49" x14ac:dyDescent="0.25">
      <c r="P62">
        <v>61</v>
      </c>
      <c r="Q62" t="s">
        <v>68</v>
      </c>
      <c r="R62" t="s">
        <v>69</v>
      </c>
      <c r="S62">
        <v>16</v>
      </c>
      <c r="T62" t="s">
        <v>107</v>
      </c>
      <c r="U62" t="s">
        <v>71</v>
      </c>
      <c r="V62" t="s">
        <v>83</v>
      </c>
      <c r="W62" t="s">
        <v>73</v>
      </c>
      <c r="X62" t="s">
        <v>73</v>
      </c>
      <c r="Y62" t="s">
        <v>63</v>
      </c>
      <c r="Z62" t="s">
        <v>75</v>
      </c>
      <c r="AA62" t="s">
        <v>85</v>
      </c>
      <c r="AB62" t="s">
        <v>77</v>
      </c>
      <c r="AC62" t="s">
        <v>87</v>
      </c>
      <c r="AD62" t="s">
        <v>79</v>
      </c>
      <c r="AE62">
        <v>0</v>
      </c>
      <c r="AF62" t="s">
        <v>81</v>
      </c>
      <c r="AG62" t="s">
        <v>80</v>
      </c>
      <c r="AH62" t="s">
        <v>81</v>
      </c>
      <c r="AI62" t="s">
        <v>80</v>
      </c>
      <c r="AJ62" t="s">
        <v>80</v>
      </c>
      <c r="AK62" t="s">
        <v>80</v>
      </c>
      <c r="AL62" t="s">
        <v>81</v>
      </c>
      <c r="AM62" t="s">
        <v>81</v>
      </c>
      <c r="AN62">
        <v>2</v>
      </c>
      <c r="AO62">
        <v>4</v>
      </c>
      <c r="AP62">
        <v>4</v>
      </c>
      <c r="AQ62">
        <v>2</v>
      </c>
      <c r="AR62">
        <v>3</v>
      </c>
      <c r="AS62">
        <v>4</v>
      </c>
      <c r="AT62">
        <v>6</v>
      </c>
      <c r="AU62" t="s">
        <v>102</v>
      </c>
      <c r="AV62">
        <v>11</v>
      </c>
      <c r="AW62">
        <v>11</v>
      </c>
    </row>
    <row r="63" spans="16:49" x14ac:dyDescent="0.25">
      <c r="P63">
        <v>62</v>
      </c>
      <c r="Q63" t="s">
        <v>68</v>
      </c>
      <c r="R63" t="s">
        <v>69</v>
      </c>
      <c r="S63">
        <v>16</v>
      </c>
      <c r="T63" t="s">
        <v>70</v>
      </c>
      <c r="U63" t="s">
        <v>71</v>
      </c>
      <c r="V63" t="s">
        <v>83</v>
      </c>
      <c r="W63" t="s">
        <v>84</v>
      </c>
      <c r="X63" t="s">
        <v>84</v>
      </c>
      <c r="Y63" t="s">
        <v>91</v>
      </c>
      <c r="Z63" t="s">
        <v>91</v>
      </c>
      <c r="AA63" t="s">
        <v>76</v>
      </c>
      <c r="AB63" t="s">
        <v>86</v>
      </c>
      <c r="AC63" t="s">
        <v>113</v>
      </c>
      <c r="AD63" t="s">
        <v>104</v>
      </c>
      <c r="AE63">
        <v>0</v>
      </c>
      <c r="AF63" t="s">
        <v>80</v>
      </c>
      <c r="AG63" t="s">
        <v>80</v>
      </c>
      <c r="AH63" t="s">
        <v>81</v>
      </c>
      <c r="AI63" t="s">
        <v>80</v>
      </c>
      <c r="AJ63" t="s">
        <v>81</v>
      </c>
      <c r="AK63" t="s">
        <v>80</v>
      </c>
      <c r="AL63" t="s">
        <v>80</v>
      </c>
      <c r="AM63" t="s">
        <v>80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6</v>
      </c>
      <c r="AU63" t="s">
        <v>102</v>
      </c>
      <c r="AV63">
        <v>8</v>
      </c>
      <c r="AW63">
        <v>11</v>
      </c>
    </row>
    <row r="64" spans="16:49" x14ac:dyDescent="0.25">
      <c r="P64">
        <v>63</v>
      </c>
      <c r="Q64" t="s">
        <v>68</v>
      </c>
      <c r="R64" t="s">
        <v>69</v>
      </c>
      <c r="S64">
        <v>16</v>
      </c>
      <c r="T64" t="s">
        <v>70</v>
      </c>
      <c r="U64" t="s">
        <v>88</v>
      </c>
      <c r="V64" t="s">
        <v>83</v>
      </c>
      <c r="W64" t="s">
        <v>84</v>
      </c>
      <c r="X64" t="s">
        <v>90</v>
      </c>
      <c r="Y64" t="s">
        <v>85</v>
      </c>
      <c r="Z64" t="s">
        <v>91</v>
      </c>
      <c r="AA64" t="s">
        <v>98</v>
      </c>
      <c r="AB64" t="s">
        <v>86</v>
      </c>
      <c r="AC64" t="s">
        <v>87</v>
      </c>
      <c r="AD64" t="s">
        <v>79</v>
      </c>
      <c r="AE64">
        <v>0</v>
      </c>
      <c r="AF64" t="s">
        <v>80</v>
      </c>
      <c r="AG64" t="s">
        <v>81</v>
      </c>
      <c r="AH64" t="s">
        <v>81</v>
      </c>
      <c r="AI64" t="s">
        <v>80</v>
      </c>
      <c r="AJ64" t="s">
        <v>80</v>
      </c>
      <c r="AK64" t="s">
        <v>80</v>
      </c>
      <c r="AL64" t="s">
        <v>80</v>
      </c>
      <c r="AM64" t="s">
        <v>81</v>
      </c>
      <c r="AN64">
        <v>4</v>
      </c>
      <c r="AO64">
        <v>4</v>
      </c>
      <c r="AP64">
        <v>3</v>
      </c>
      <c r="AQ64">
        <v>1</v>
      </c>
      <c r="AR64">
        <v>1</v>
      </c>
      <c r="AS64">
        <v>1</v>
      </c>
      <c r="AT64">
        <v>4</v>
      </c>
      <c r="AU64" t="s">
        <v>106</v>
      </c>
      <c r="AV64">
        <v>10</v>
      </c>
      <c r="AW64">
        <v>9</v>
      </c>
    </row>
    <row r="65" spans="16:49" x14ac:dyDescent="0.25">
      <c r="P65">
        <v>64</v>
      </c>
      <c r="Q65" t="s">
        <v>68</v>
      </c>
      <c r="R65" t="s">
        <v>69</v>
      </c>
      <c r="S65">
        <v>16</v>
      </c>
      <c r="T65" t="s">
        <v>70</v>
      </c>
      <c r="U65" t="s">
        <v>71</v>
      </c>
      <c r="V65" t="s">
        <v>83</v>
      </c>
      <c r="W65" t="s">
        <v>73</v>
      </c>
      <c r="X65" t="s">
        <v>95</v>
      </c>
      <c r="Y65" t="s">
        <v>75</v>
      </c>
      <c r="Z65" t="s">
        <v>63</v>
      </c>
      <c r="AA65" t="s">
        <v>92</v>
      </c>
      <c r="AB65" t="s">
        <v>77</v>
      </c>
      <c r="AC65" t="s">
        <v>87</v>
      </c>
      <c r="AD65" t="s">
        <v>93</v>
      </c>
      <c r="AE65">
        <v>0</v>
      </c>
      <c r="AF65" t="s">
        <v>80</v>
      </c>
      <c r="AG65" t="s">
        <v>80</v>
      </c>
      <c r="AH65" t="s">
        <v>80</v>
      </c>
      <c r="AI65" t="s">
        <v>80</v>
      </c>
      <c r="AJ65" t="s">
        <v>80</v>
      </c>
      <c r="AK65" t="s">
        <v>80</v>
      </c>
      <c r="AL65" t="s">
        <v>80</v>
      </c>
      <c r="AM65" t="s">
        <v>81</v>
      </c>
      <c r="AN65">
        <v>3</v>
      </c>
      <c r="AO65">
        <v>4</v>
      </c>
      <c r="AP65">
        <v>4</v>
      </c>
      <c r="AQ65">
        <v>2</v>
      </c>
      <c r="AR65">
        <v>4</v>
      </c>
      <c r="AS65">
        <v>4</v>
      </c>
      <c r="AT65">
        <v>2</v>
      </c>
      <c r="AU65" t="s">
        <v>102</v>
      </c>
      <c r="AV65">
        <v>9</v>
      </c>
      <c r="AW65">
        <v>9</v>
      </c>
    </row>
    <row r="66" spans="16:49" x14ac:dyDescent="0.25">
      <c r="P66">
        <v>65</v>
      </c>
      <c r="Q66" t="s">
        <v>68</v>
      </c>
      <c r="R66" t="s">
        <v>69</v>
      </c>
      <c r="S66">
        <v>15</v>
      </c>
      <c r="T66" t="s">
        <v>70</v>
      </c>
      <c r="U66" t="s">
        <v>88</v>
      </c>
      <c r="V66" t="s">
        <v>83</v>
      </c>
      <c r="W66" t="s">
        <v>73</v>
      </c>
      <c r="X66" t="s">
        <v>95</v>
      </c>
      <c r="Y66" t="s">
        <v>91</v>
      </c>
      <c r="Z66" t="s">
        <v>91</v>
      </c>
      <c r="AA66" t="s">
        <v>98</v>
      </c>
      <c r="AB66" t="s">
        <v>86</v>
      </c>
      <c r="AC66" t="s">
        <v>87</v>
      </c>
      <c r="AD66" t="s">
        <v>79</v>
      </c>
      <c r="AE66">
        <v>0</v>
      </c>
      <c r="AF66" t="s">
        <v>80</v>
      </c>
      <c r="AG66" t="s">
        <v>81</v>
      </c>
      <c r="AH66" t="s">
        <v>81</v>
      </c>
      <c r="AI66" t="s">
        <v>80</v>
      </c>
      <c r="AJ66" t="s">
        <v>80</v>
      </c>
      <c r="AK66" t="s">
        <v>80</v>
      </c>
      <c r="AL66" t="s">
        <v>80</v>
      </c>
      <c r="AM66" t="s">
        <v>80</v>
      </c>
      <c r="AN66">
        <v>4</v>
      </c>
      <c r="AO66">
        <v>4</v>
      </c>
      <c r="AP66">
        <v>4</v>
      </c>
      <c r="AQ66">
        <v>2</v>
      </c>
      <c r="AR66">
        <v>4</v>
      </c>
      <c r="AS66">
        <v>2</v>
      </c>
      <c r="AT66">
        <v>0</v>
      </c>
      <c r="AU66" t="s">
        <v>102</v>
      </c>
      <c r="AV66">
        <v>10</v>
      </c>
      <c r="AW66">
        <v>10</v>
      </c>
    </row>
    <row r="67" spans="16:49" x14ac:dyDescent="0.25">
      <c r="P67">
        <v>66</v>
      </c>
      <c r="Q67" t="s">
        <v>68</v>
      </c>
      <c r="R67" t="s">
        <v>69</v>
      </c>
      <c r="S67">
        <v>16</v>
      </c>
      <c r="T67" t="s">
        <v>70</v>
      </c>
      <c r="U67" t="s">
        <v>88</v>
      </c>
      <c r="V67" t="s">
        <v>83</v>
      </c>
      <c r="W67" t="s">
        <v>73</v>
      </c>
      <c r="X67" t="s">
        <v>95</v>
      </c>
      <c r="Y67" t="s">
        <v>75</v>
      </c>
      <c r="Z67" t="s">
        <v>91</v>
      </c>
      <c r="AA67" t="s">
        <v>76</v>
      </c>
      <c r="AB67" t="s">
        <v>77</v>
      </c>
      <c r="AC67" t="s">
        <v>103</v>
      </c>
      <c r="AD67" t="s">
        <v>79</v>
      </c>
      <c r="AE67">
        <v>0</v>
      </c>
      <c r="AF67" t="s">
        <v>81</v>
      </c>
      <c r="AG67" t="s">
        <v>80</v>
      </c>
      <c r="AH67" t="s">
        <v>81</v>
      </c>
      <c r="AI67" t="s">
        <v>80</v>
      </c>
      <c r="AJ67" t="s">
        <v>80</v>
      </c>
      <c r="AK67" t="s">
        <v>80</v>
      </c>
      <c r="AL67" t="s">
        <v>80</v>
      </c>
      <c r="AM67" t="s">
        <v>81</v>
      </c>
      <c r="AN67">
        <v>5</v>
      </c>
      <c r="AO67">
        <v>4</v>
      </c>
      <c r="AP67">
        <v>3</v>
      </c>
      <c r="AQ67">
        <v>1</v>
      </c>
      <c r="AR67">
        <v>2</v>
      </c>
      <c r="AS67">
        <v>1</v>
      </c>
      <c r="AT67">
        <v>2</v>
      </c>
      <c r="AU67" t="s">
        <v>100</v>
      </c>
      <c r="AV67">
        <v>15</v>
      </c>
      <c r="AW67">
        <v>15</v>
      </c>
    </row>
    <row r="68" spans="16:49" x14ac:dyDescent="0.25">
      <c r="P68">
        <v>67</v>
      </c>
      <c r="Q68" t="s">
        <v>68</v>
      </c>
      <c r="R68" t="s">
        <v>97</v>
      </c>
      <c r="S68">
        <v>15</v>
      </c>
      <c r="T68" t="s">
        <v>70</v>
      </c>
      <c r="U68" t="s">
        <v>71</v>
      </c>
      <c r="V68" t="s">
        <v>72</v>
      </c>
      <c r="W68" t="s">
        <v>73</v>
      </c>
      <c r="X68" t="s">
        <v>73</v>
      </c>
      <c r="Y68" t="s">
        <v>85</v>
      </c>
      <c r="Z68" t="s">
        <v>91</v>
      </c>
      <c r="AA68" t="s">
        <v>98</v>
      </c>
      <c r="AB68" t="s">
        <v>77</v>
      </c>
      <c r="AC68" t="s">
        <v>87</v>
      </c>
      <c r="AD68" t="s">
        <v>112</v>
      </c>
      <c r="AE68">
        <v>0</v>
      </c>
      <c r="AF68" t="s">
        <v>81</v>
      </c>
      <c r="AG68" t="s">
        <v>80</v>
      </c>
      <c r="AH68" t="s">
        <v>81</v>
      </c>
      <c r="AI68" t="s">
        <v>80</v>
      </c>
      <c r="AJ68" t="s">
        <v>81</v>
      </c>
      <c r="AK68" t="s">
        <v>80</v>
      </c>
      <c r="AL68" t="s">
        <v>80</v>
      </c>
      <c r="AM68" t="s">
        <v>80</v>
      </c>
      <c r="AN68">
        <v>1</v>
      </c>
      <c r="AO68">
        <v>3</v>
      </c>
      <c r="AP68">
        <v>3</v>
      </c>
      <c r="AQ68">
        <v>5</v>
      </c>
      <c r="AR68">
        <v>5</v>
      </c>
      <c r="AS68">
        <v>3</v>
      </c>
      <c r="AT68">
        <v>4</v>
      </c>
      <c r="AU68" t="s">
        <v>105</v>
      </c>
      <c r="AV68">
        <v>13</v>
      </c>
      <c r="AW68">
        <v>12</v>
      </c>
    </row>
    <row r="69" spans="16:49" x14ac:dyDescent="0.25">
      <c r="P69">
        <v>68</v>
      </c>
      <c r="Q69" t="s">
        <v>68</v>
      </c>
      <c r="R69" t="s">
        <v>69</v>
      </c>
      <c r="S69">
        <v>16</v>
      </c>
      <c r="T69" t="s">
        <v>70</v>
      </c>
      <c r="U69" t="s">
        <v>71</v>
      </c>
      <c r="V69" t="s">
        <v>83</v>
      </c>
      <c r="W69" t="s">
        <v>95</v>
      </c>
      <c r="X69" t="s">
        <v>84</v>
      </c>
      <c r="Y69" t="s">
        <v>91</v>
      </c>
      <c r="Z69" t="s">
        <v>85</v>
      </c>
      <c r="AA69" t="s">
        <v>76</v>
      </c>
      <c r="AB69" t="s">
        <v>77</v>
      </c>
      <c r="AC69" t="s">
        <v>87</v>
      </c>
      <c r="AD69" t="s">
        <v>112</v>
      </c>
      <c r="AE69">
        <v>0</v>
      </c>
      <c r="AF69" t="s">
        <v>80</v>
      </c>
      <c r="AG69" t="s">
        <v>80</v>
      </c>
      <c r="AH69" t="s">
        <v>80</v>
      </c>
      <c r="AI69" t="s">
        <v>81</v>
      </c>
      <c r="AJ69" t="s">
        <v>80</v>
      </c>
      <c r="AK69" t="s">
        <v>80</v>
      </c>
      <c r="AL69" t="s">
        <v>80</v>
      </c>
      <c r="AM69" t="s">
        <v>81</v>
      </c>
      <c r="AN69">
        <v>4</v>
      </c>
      <c r="AO69">
        <v>3</v>
      </c>
      <c r="AP69">
        <v>3</v>
      </c>
      <c r="AQ69">
        <v>1</v>
      </c>
      <c r="AR69">
        <v>2</v>
      </c>
      <c r="AS69">
        <v>5</v>
      </c>
      <c r="AT69">
        <v>4</v>
      </c>
      <c r="AU69" t="s">
        <v>89</v>
      </c>
      <c r="AV69">
        <v>7</v>
      </c>
      <c r="AW69">
        <v>6</v>
      </c>
    </row>
    <row r="70" spans="16:49" x14ac:dyDescent="0.25">
      <c r="P70">
        <v>69</v>
      </c>
      <c r="Q70" t="s">
        <v>68</v>
      </c>
      <c r="R70" t="s">
        <v>69</v>
      </c>
      <c r="S70">
        <v>15</v>
      </c>
      <c r="T70" t="s">
        <v>107</v>
      </c>
      <c r="U70" t="s">
        <v>88</v>
      </c>
      <c r="V70" t="s">
        <v>83</v>
      </c>
      <c r="W70" t="s">
        <v>90</v>
      </c>
      <c r="X70" t="s">
        <v>90</v>
      </c>
      <c r="Y70" t="s">
        <v>63</v>
      </c>
      <c r="Z70" t="s">
        <v>91</v>
      </c>
      <c r="AA70" t="s">
        <v>98</v>
      </c>
      <c r="AB70" t="s">
        <v>77</v>
      </c>
      <c r="AC70" t="s">
        <v>78</v>
      </c>
      <c r="AD70" t="s">
        <v>79</v>
      </c>
      <c r="AE70">
        <v>0</v>
      </c>
      <c r="AF70" t="s">
        <v>80</v>
      </c>
      <c r="AG70" t="s">
        <v>80</v>
      </c>
      <c r="AH70" t="s">
        <v>80</v>
      </c>
      <c r="AI70" t="s">
        <v>81</v>
      </c>
      <c r="AJ70" t="s">
        <v>80</v>
      </c>
      <c r="AK70" t="s">
        <v>80</v>
      </c>
      <c r="AL70" t="s">
        <v>80</v>
      </c>
      <c r="AM70" t="s">
        <v>81</v>
      </c>
      <c r="AN70">
        <v>4</v>
      </c>
      <c r="AO70">
        <v>1</v>
      </c>
      <c r="AP70">
        <v>3</v>
      </c>
      <c r="AQ70">
        <v>1</v>
      </c>
      <c r="AR70">
        <v>3</v>
      </c>
      <c r="AS70">
        <v>4</v>
      </c>
      <c r="AT70">
        <v>2</v>
      </c>
      <c r="AU70" t="s">
        <v>106</v>
      </c>
      <c r="AV70">
        <v>9</v>
      </c>
      <c r="AW70">
        <v>8</v>
      </c>
    </row>
    <row r="71" spans="16:49" x14ac:dyDescent="0.25">
      <c r="P71">
        <v>70</v>
      </c>
      <c r="Q71" t="s">
        <v>68</v>
      </c>
      <c r="R71" t="s">
        <v>69</v>
      </c>
      <c r="S71">
        <v>15</v>
      </c>
      <c r="T71" t="s">
        <v>107</v>
      </c>
      <c r="U71" t="s">
        <v>88</v>
      </c>
      <c r="V71" t="s">
        <v>83</v>
      </c>
      <c r="W71" t="s">
        <v>95</v>
      </c>
      <c r="X71" t="s">
        <v>84</v>
      </c>
      <c r="Y71" t="s">
        <v>85</v>
      </c>
      <c r="Z71" t="s">
        <v>85</v>
      </c>
      <c r="AA71" t="s">
        <v>98</v>
      </c>
      <c r="AB71" t="s">
        <v>86</v>
      </c>
      <c r="AC71" t="s">
        <v>78</v>
      </c>
      <c r="AD71" t="s">
        <v>112</v>
      </c>
      <c r="AE71">
        <v>0</v>
      </c>
      <c r="AF71" t="s">
        <v>81</v>
      </c>
      <c r="AG71" t="s">
        <v>80</v>
      </c>
      <c r="AH71" t="s">
        <v>81</v>
      </c>
      <c r="AI71" t="s">
        <v>81</v>
      </c>
      <c r="AJ71" t="s">
        <v>81</v>
      </c>
      <c r="AK71" t="s">
        <v>80</v>
      </c>
      <c r="AL71" t="s">
        <v>80</v>
      </c>
      <c r="AM71" t="s">
        <v>81</v>
      </c>
      <c r="AN71">
        <v>4</v>
      </c>
      <c r="AO71">
        <v>4</v>
      </c>
      <c r="AP71">
        <v>2</v>
      </c>
      <c r="AQ71">
        <v>2</v>
      </c>
      <c r="AR71">
        <v>3</v>
      </c>
      <c r="AS71">
        <v>3</v>
      </c>
      <c r="AT71">
        <v>12</v>
      </c>
      <c r="AU71" t="s">
        <v>100</v>
      </c>
      <c r="AV71">
        <v>16</v>
      </c>
      <c r="AW71">
        <v>16</v>
      </c>
    </row>
    <row r="72" spans="16:49" x14ac:dyDescent="0.25">
      <c r="P72">
        <v>71</v>
      </c>
      <c r="Q72" t="s">
        <v>68</v>
      </c>
      <c r="R72" t="s">
        <v>97</v>
      </c>
      <c r="S72">
        <v>16</v>
      </c>
      <c r="T72" t="s">
        <v>70</v>
      </c>
      <c r="U72" t="s">
        <v>71</v>
      </c>
      <c r="V72" t="s">
        <v>83</v>
      </c>
      <c r="W72" t="s">
        <v>95</v>
      </c>
      <c r="X72" t="s">
        <v>84</v>
      </c>
      <c r="Y72" t="s">
        <v>85</v>
      </c>
      <c r="Z72" t="s">
        <v>85</v>
      </c>
      <c r="AA72" t="s">
        <v>98</v>
      </c>
      <c r="AB72" t="s">
        <v>86</v>
      </c>
      <c r="AC72" t="s">
        <v>78</v>
      </c>
      <c r="AD72" t="s">
        <v>112</v>
      </c>
      <c r="AE72">
        <v>0</v>
      </c>
      <c r="AF72" t="s">
        <v>81</v>
      </c>
      <c r="AG72" t="s">
        <v>80</v>
      </c>
      <c r="AH72" t="s">
        <v>80</v>
      </c>
      <c r="AI72" t="s">
        <v>81</v>
      </c>
      <c r="AJ72" t="s">
        <v>80</v>
      </c>
      <c r="AK72" t="s">
        <v>80</v>
      </c>
      <c r="AL72" t="s">
        <v>80</v>
      </c>
      <c r="AM72" t="s">
        <v>81</v>
      </c>
      <c r="AN72">
        <v>4</v>
      </c>
      <c r="AO72">
        <v>3</v>
      </c>
      <c r="AP72">
        <v>2</v>
      </c>
      <c r="AQ72">
        <v>1</v>
      </c>
      <c r="AR72">
        <v>1</v>
      </c>
      <c r="AS72">
        <v>5</v>
      </c>
      <c r="AT72">
        <v>0</v>
      </c>
      <c r="AU72" t="s">
        <v>105</v>
      </c>
      <c r="AV72">
        <v>15</v>
      </c>
      <c r="AW72">
        <v>15</v>
      </c>
    </row>
    <row r="73" spans="16:49" x14ac:dyDescent="0.25">
      <c r="P73">
        <v>72</v>
      </c>
      <c r="Q73" t="s">
        <v>68</v>
      </c>
      <c r="R73" t="s">
        <v>97</v>
      </c>
      <c r="S73">
        <v>15</v>
      </c>
      <c r="T73" t="s">
        <v>70</v>
      </c>
      <c r="U73" t="s">
        <v>71</v>
      </c>
      <c r="V73" t="s">
        <v>83</v>
      </c>
      <c r="W73" t="s">
        <v>73</v>
      </c>
      <c r="X73" t="s">
        <v>90</v>
      </c>
      <c r="Y73" t="s">
        <v>85</v>
      </c>
      <c r="Z73" t="s">
        <v>85</v>
      </c>
      <c r="AA73" t="s">
        <v>76</v>
      </c>
      <c r="AB73" t="s">
        <v>77</v>
      </c>
      <c r="AC73" t="s">
        <v>87</v>
      </c>
      <c r="AD73" t="s">
        <v>112</v>
      </c>
      <c r="AE73">
        <v>0</v>
      </c>
      <c r="AF73" t="s">
        <v>81</v>
      </c>
      <c r="AG73" t="s">
        <v>81</v>
      </c>
      <c r="AH73" t="s">
        <v>81</v>
      </c>
      <c r="AI73" t="s">
        <v>81</v>
      </c>
      <c r="AJ73" t="s">
        <v>80</v>
      </c>
      <c r="AK73" t="s">
        <v>80</v>
      </c>
      <c r="AL73" t="s">
        <v>80</v>
      </c>
      <c r="AM73" t="s">
        <v>81</v>
      </c>
      <c r="AN73">
        <v>3</v>
      </c>
      <c r="AO73">
        <v>3</v>
      </c>
      <c r="AP73">
        <v>3</v>
      </c>
      <c r="AQ73">
        <v>1</v>
      </c>
      <c r="AR73">
        <v>1</v>
      </c>
      <c r="AS73">
        <v>3</v>
      </c>
      <c r="AT73">
        <v>0</v>
      </c>
      <c r="AU73" t="s">
        <v>102</v>
      </c>
      <c r="AV73">
        <v>10</v>
      </c>
      <c r="AW73">
        <v>10</v>
      </c>
    </row>
    <row r="74" spans="16:49" x14ac:dyDescent="0.25">
      <c r="P74">
        <v>73</v>
      </c>
      <c r="Q74" t="s">
        <v>68</v>
      </c>
      <c r="R74" t="s">
        <v>69</v>
      </c>
      <c r="S74">
        <v>15</v>
      </c>
      <c r="T74" t="s">
        <v>107</v>
      </c>
      <c r="U74" t="s">
        <v>71</v>
      </c>
      <c r="V74" t="s">
        <v>83</v>
      </c>
      <c r="W74" t="s">
        <v>84</v>
      </c>
      <c r="X74" t="s">
        <v>84</v>
      </c>
      <c r="Y74" t="s">
        <v>85</v>
      </c>
      <c r="Z74" t="s">
        <v>85</v>
      </c>
      <c r="AA74" t="s">
        <v>98</v>
      </c>
      <c r="AB74" t="s">
        <v>77</v>
      </c>
      <c r="AC74" t="s">
        <v>87</v>
      </c>
      <c r="AD74" t="s">
        <v>79</v>
      </c>
      <c r="AE74">
        <v>2</v>
      </c>
      <c r="AF74" t="s">
        <v>80</v>
      </c>
      <c r="AG74" t="s">
        <v>80</v>
      </c>
      <c r="AH74" t="s">
        <v>81</v>
      </c>
      <c r="AI74" t="s">
        <v>81</v>
      </c>
      <c r="AJ74" t="s">
        <v>81</v>
      </c>
      <c r="AK74" t="s">
        <v>80</v>
      </c>
      <c r="AL74" t="s">
        <v>80</v>
      </c>
      <c r="AM74" t="s">
        <v>80</v>
      </c>
      <c r="AN74">
        <v>3</v>
      </c>
      <c r="AO74">
        <v>3</v>
      </c>
      <c r="AP74">
        <v>4</v>
      </c>
      <c r="AQ74">
        <v>2</v>
      </c>
      <c r="AR74">
        <v>4</v>
      </c>
      <c r="AS74">
        <v>5</v>
      </c>
      <c r="AT74">
        <v>2</v>
      </c>
      <c r="AU74" t="s">
        <v>106</v>
      </c>
      <c r="AV74">
        <v>6</v>
      </c>
      <c r="AW74">
        <v>5</v>
      </c>
    </row>
    <row r="75" spans="16:49" x14ac:dyDescent="0.25">
      <c r="P75">
        <v>74</v>
      </c>
      <c r="Q75" t="s">
        <v>68</v>
      </c>
      <c r="R75" t="s">
        <v>97</v>
      </c>
      <c r="S75">
        <v>16</v>
      </c>
      <c r="T75" t="s">
        <v>70</v>
      </c>
      <c r="U75" t="s">
        <v>71</v>
      </c>
      <c r="V75" t="s">
        <v>83</v>
      </c>
      <c r="W75" t="s">
        <v>95</v>
      </c>
      <c r="X75" t="s">
        <v>84</v>
      </c>
      <c r="Y75" t="s">
        <v>85</v>
      </c>
      <c r="Z75" t="s">
        <v>85</v>
      </c>
      <c r="AA75" t="s">
        <v>98</v>
      </c>
      <c r="AB75" t="s">
        <v>77</v>
      </c>
      <c r="AC75" t="s">
        <v>87</v>
      </c>
      <c r="AD75" t="s">
        <v>104</v>
      </c>
      <c r="AE75">
        <v>0</v>
      </c>
      <c r="AF75" t="s">
        <v>81</v>
      </c>
      <c r="AG75" t="s">
        <v>81</v>
      </c>
      <c r="AH75" t="s">
        <v>81</v>
      </c>
      <c r="AI75" t="s">
        <v>80</v>
      </c>
      <c r="AJ75" t="s">
        <v>80</v>
      </c>
      <c r="AK75" t="s">
        <v>80</v>
      </c>
      <c r="AL75" t="s">
        <v>81</v>
      </c>
      <c r="AM75" t="s">
        <v>81</v>
      </c>
      <c r="AN75">
        <v>5</v>
      </c>
      <c r="AO75">
        <v>3</v>
      </c>
      <c r="AP75">
        <v>2</v>
      </c>
      <c r="AQ75">
        <v>2</v>
      </c>
      <c r="AR75">
        <v>2</v>
      </c>
      <c r="AS75">
        <v>5</v>
      </c>
      <c r="AT75">
        <v>2</v>
      </c>
      <c r="AU75" t="s">
        <v>99</v>
      </c>
      <c r="AV75">
        <v>12</v>
      </c>
      <c r="AW75">
        <v>14</v>
      </c>
    </row>
    <row r="76" spans="16:49" x14ac:dyDescent="0.25">
      <c r="P76">
        <v>75</v>
      </c>
      <c r="Q76" t="s">
        <v>68</v>
      </c>
      <c r="R76" t="s">
        <v>69</v>
      </c>
      <c r="S76">
        <v>16</v>
      </c>
      <c r="T76" t="s">
        <v>70</v>
      </c>
      <c r="U76" t="s">
        <v>71</v>
      </c>
      <c r="V76" t="s">
        <v>83</v>
      </c>
      <c r="W76" t="s">
        <v>95</v>
      </c>
      <c r="X76" t="s">
        <v>95</v>
      </c>
      <c r="Y76" t="s">
        <v>85</v>
      </c>
      <c r="Z76" t="s">
        <v>91</v>
      </c>
      <c r="AA76" t="s">
        <v>92</v>
      </c>
      <c r="AB76" t="s">
        <v>77</v>
      </c>
      <c r="AC76" t="s">
        <v>87</v>
      </c>
      <c r="AD76" t="s">
        <v>79</v>
      </c>
      <c r="AE76">
        <v>0</v>
      </c>
      <c r="AF76" t="s">
        <v>80</v>
      </c>
      <c r="AG76" t="s">
        <v>80</v>
      </c>
      <c r="AH76" t="s">
        <v>80</v>
      </c>
      <c r="AI76" t="s">
        <v>80</v>
      </c>
      <c r="AJ76" t="s">
        <v>80</v>
      </c>
      <c r="AK76" t="s">
        <v>80</v>
      </c>
      <c r="AL76" t="s">
        <v>80</v>
      </c>
      <c r="AM76" t="s">
        <v>81</v>
      </c>
      <c r="AN76">
        <v>4</v>
      </c>
      <c r="AO76">
        <v>3</v>
      </c>
      <c r="AP76">
        <v>3</v>
      </c>
      <c r="AQ76">
        <v>2</v>
      </c>
      <c r="AR76">
        <v>4</v>
      </c>
      <c r="AS76">
        <v>5</v>
      </c>
      <c r="AT76">
        <v>54</v>
      </c>
      <c r="AU76" t="s">
        <v>108</v>
      </c>
      <c r="AV76">
        <v>12</v>
      </c>
      <c r="AW76">
        <v>11</v>
      </c>
    </row>
    <row r="77" spans="16:49" x14ac:dyDescent="0.25">
      <c r="P77">
        <v>76</v>
      </c>
      <c r="Q77" t="s">
        <v>68</v>
      </c>
      <c r="R77" t="s">
        <v>97</v>
      </c>
      <c r="S77">
        <v>15</v>
      </c>
      <c r="T77" t="s">
        <v>70</v>
      </c>
      <c r="U77" t="s">
        <v>71</v>
      </c>
      <c r="V77" t="s">
        <v>83</v>
      </c>
      <c r="W77" t="s">
        <v>73</v>
      </c>
      <c r="X77" t="s">
        <v>95</v>
      </c>
      <c r="Y77" t="s">
        <v>75</v>
      </c>
      <c r="Z77" t="s">
        <v>85</v>
      </c>
      <c r="AA77" t="s">
        <v>92</v>
      </c>
      <c r="AB77" t="s">
        <v>77</v>
      </c>
      <c r="AC77" t="s">
        <v>87</v>
      </c>
      <c r="AD77" t="s">
        <v>79</v>
      </c>
      <c r="AE77">
        <v>0</v>
      </c>
      <c r="AF77" t="s">
        <v>81</v>
      </c>
      <c r="AG77" t="s">
        <v>80</v>
      </c>
      <c r="AH77" t="s">
        <v>80</v>
      </c>
      <c r="AI77" t="s">
        <v>80</v>
      </c>
      <c r="AJ77" t="s">
        <v>80</v>
      </c>
      <c r="AK77" t="s">
        <v>80</v>
      </c>
      <c r="AL77" t="s">
        <v>80</v>
      </c>
      <c r="AM77" t="s">
        <v>81</v>
      </c>
      <c r="AN77">
        <v>4</v>
      </c>
      <c r="AO77">
        <v>3</v>
      </c>
      <c r="AP77">
        <v>3</v>
      </c>
      <c r="AQ77">
        <v>2</v>
      </c>
      <c r="AR77">
        <v>3</v>
      </c>
      <c r="AS77">
        <v>5</v>
      </c>
      <c r="AT77">
        <v>6</v>
      </c>
      <c r="AU77" t="s">
        <v>109</v>
      </c>
      <c r="AV77">
        <v>9</v>
      </c>
      <c r="AW77">
        <v>10</v>
      </c>
    </row>
    <row r="78" spans="16:49" x14ac:dyDescent="0.25">
      <c r="P78">
        <v>77</v>
      </c>
      <c r="Q78" t="s">
        <v>68</v>
      </c>
      <c r="R78" t="s">
        <v>97</v>
      </c>
      <c r="S78">
        <v>15</v>
      </c>
      <c r="T78" t="s">
        <v>70</v>
      </c>
      <c r="U78" t="s">
        <v>71</v>
      </c>
      <c r="V78" t="s">
        <v>83</v>
      </c>
      <c r="W78" t="s">
        <v>73</v>
      </c>
      <c r="X78" t="s">
        <v>114</v>
      </c>
      <c r="Y78" t="s">
        <v>75</v>
      </c>
      <c r="Z78" t="s">
        <v>85</v>
      </c>
      <c r="AA78" t="s">
        <v>76</v>
      </c>
      <c r="AB78" t="s">
        <v>77</v>
      </c>
      <c r="AC78" t="s">
        <v>78</v>
      </c>
      <c r="AD78" t="s">
        <v>112</v>
      </c>
      <c r="AE78">
        <v>0</v>
      </c>
      <c r="AF78" t="s">
        <v>81</v>
      </c>
      <c r="AG78" t="s">
        <v>81</v>
      </c>
      <c r="AH78" t="s">
        <v>81</v>
      </c>
      <c r="AI78" t="s">
        <v>80</v>
      </c>
      <c r="AJ78" t="s">
        <v>80</v>
      </c>
      <c r="AK78" t="s">
        <v>80</v>
      </c>
      <c r="AL78" t="s">
        <v>80</v>
      </c>
      <c r="AM78" t="s">
        <v>81</v>
      </c>
      <c r="AN78">
        <v>3</v>
      </c>
      <c r="AO78">
        <v>4</v>
      </c>
      <c r="AP78">
        <v>3</v>
      </c>
      <c r="AQ78">
        <v>1</v>
      </c>
      <c r="AR78">
        <v>1</v>
      </c>
      <c r="AS78">
        <v>1</v>
      </c>
      <c r="AT78">
        <v>8</v>
      </c>
      <c r="AU78" t="s">
        <v>108</v>
      </c>
      <c r="AV78">
        <v>11</v>
      </c>
      <c r="AW78">
        <v>10</v>
      </c>
    </row>
    <row r="79" spans="16:49" x14ac:dyDescent="0.25">
      <c r="P79">
        <v>78</v>
      </c>
      <c r="Q79" t="s">
        <v>68</v>
      </c>
      <c r="R79" t="s">
        <v>69</v>
      </c>
      <c r="S79">
        <v>16</v>
      </c>
      <c r="T79" t="s">
        <v>70</v>
      </c>
      <c r="U79" t="s">
        <v>71</v>
      </c>
      <c r="V79" t="s">
        <v>83</v>
      </c>
      <c r="W79" t="s">
        <v>90</v>
      </c>
      <c r="X79" t="s">
        <v>90</v>
      </c>
      <c r="Y79" t="s">
        <v>85</v>
      </c>
      <c r="Z79" t="s">
        <v>85</v>
      </c>
      <c r="AA79" t="s">
        <v>98</v>
      </c>
      <c r="AB79" t="s">
        <v>77</v>
      </c>
      <c r="AC79" t="s">
        <v>87</v>
      </c>
      <c r="AD79" t="s">
        <v>112</v>
      </c>
      <c r="AE79">
        <v>0</v>
      </c>
      <c r="AF79" t="s">
        <v>81</v>
      </c>
      <c r="AG79" t="s">
        <v>81</v>
      </c>
      <c r="AH79" t="s">
        <v>80</v>
      </c>
      <c r="AI79" t="s">
        <v>81</v>
      </c>
      <c r="AJ79" t="s">
        <v>80</v>
      </c>
      <c r="AK79" t="s">
        <v>80</v>
      </c>
      <c r="AL79" t="s">
        <v>80</v>
      </c>
      <c r="AM79" t="s">
        <v>80</v>
      </c>
      <c r="AN79">
        <v>5</v>
      </c>
      <c r="AO79">
        <v>2</v>
      </c>
      <c r="AP79">
        <v>3</v>
      </c>
      <c r="AQ79">
        <v>1</v>
      </c>
      <c r="AR79">
        <v>3</v>
      </c>
      <c r="AS79">
        <v>3</v>
      </c>
      <c r="AT79">
        <v>0</v>
      </c>
      <c r="AU79" t="s">
        <v>108</v>
      </c>
      <c r="AV79">
        <v>11</v>
      </c>
      <c r="AW79">
        <v>11</v>
      </c>
    </row>
    <row r="80" spans="16:49" x14ac:dyDescent="0.25">
      <c r="P80">
        <v>79</v>
      </c>
      <c r="Q80" t="s">
        <v>68</v>
      </c>
      <c r="R80" t="s">
        <v>97</v>
      </c>
      <c r="S80">
        <v>17</v>
      </c>
      <c r="T80" t="s">
        <v>70</v>
      </c>
      <c r="U80" t="s">
        <v>71</v>
      </c>
      <c r="V80" t="s">
        <v>83</v>
      </c>
      <c r="W80" t="s">
        <v>90</v>
      </c>
      <c r="X80" t="s">
        <v>84</v>
      </c>
      <c r="Y80" t="s">
        <v>85</v>
      </c>
      <c r="Z80" t="s">
        <v>85</v>
      </c>
      <c r="AA80" t="s">
        <v>92</v>
      </c>
      <c r="AB80" t="s">
        <v>77</v>
      </c>
      <c r="AC80" t="s">
        <v>78</v>
      </c>
      <c r="AD80" t="s">
        <v>104</v>
      </c>
      <c r="AE80">
        <v>3</v>
      </c>
      <c r="AF80" t="s">
        <v>80</v>
      </c>
      <c r="AG80" t="s">
        <v>80</v>
      </c>
      <c r="AH80" t="s">
        <v>81</v>
      </c>
      <c r="AI80" t="s">
        <v>80</v>
      </c>
      <c r="AJ80" t="s">
        <v>80</v>
      </c>
      <c r="AK80" t="s">
        <v>81</v>
      </c>
      <c r="AL80" t="s">
        <v>80</v>
      </c>
      <c r="AM80" t="s">
        <v>81</v>
      </c>
      <c r="AN80">
        <v>4</v>
      </c>
      <c r="AO80">
        <v>5</v>
      </c>
      <c r="AP80">
        <v>1</v>
      </c>
      <c r="AQ80">
        <v>1</v>
      </c>
      <c r="AR80">
        <v>1</v>
      </c>
      <c r="AS80">
        <v>3</v>
      </c>
      <c r="AT80">
        <v>2</v>
      </c>
      <c r="AU80" t="s">
        <v>106</v>
      </c>
      <c r="AV80">
        <v>8</v>
      </c>
      <c r="AW80">
        <v>10</v>
      </c>
    </row>
    <row r="81" spans="16:49" x14ac:dyDescent="0.25">
      <c r="P81">
        <v>80</v>
      </c>
      <c r="Q81" t="s">
        <v>68</v>
      </c>
      <c r="R81" t="s">
        <v>69</v>
      </c>
      <c r="S81">
        <v>16</v>
      </c>
      <c r="T81" t="s">
        <v>70</v>
      </c>
      <c r="U81" t="s">
        <v>71</v>
      </c>
      <c r="V81" t="s">
        <v>83</v>
      </c>
      <c r="W81" t="s">
        <v>95</v>
      </c>
      <c r="X81" t="s">
        <v>73</v>
      </c>
      <c r="Y81" t="s">
        <v>74</v>
      </c>
      <c r="Z81" t="s">
        <v>85</v>
      </c>
      <c r="AA81" t="s">
        <v>76</v>
      </c>
      <c r="AB81" t="s">
        <v>77</v>
      </c>
      <c r="AC81" t="s">
        <v>87</v>
      </c>
      <c r="AD81" t="s">
        <v>79</v>
      </c>
      <c r="AE81">
        <v>0</v>
      </c>
      <c r="AF81" t="s">
        <v>81</v>
      </c>
      <c r="AG81" t="s">
        <v>80</v>
      </c>
      <c r="AH81" t="s">
        <v>81</v>
      </c>
      <c r="AI81" t="s">
        <v>81</v>
      </c>
      <c r="AJ81" t="s">
        <v>80</v>
      </c>
      <c r="AK81" t="s">
        <v>80</v>
      </c>
      <c r="AL81" t="s">
        <v>80</v>
      </c>
      <c r="AM81" t="s">
        <v>81</v>
      </c>
      <c r="AN81">
        <v>2</v>
      </c>
      <c r="AO81">
        <v>4</v>
      </c>
      <c r="AP81">
        <v>3</v>
      </c>
      <c r="AQ81">
        <v>1</v>
      </c>
      <c r="AR81">
        <v>2</v>
      </c>
      <c r="AS81">
        <v>3</v>
      </c>
      <c r="AT81">
        <v>12</v>
      </c>
      <c r="AU81" t="s">
        <v>82</v>
      </c>
      <c r="AV81">
        <v>5</v>
      </c>
      <c r="AW81">
        <v>5</v>
      </c>
    </row>
    <row r="82" spans="16:49" x14ac:dyDescent="0.25">
      <c r="P82">
        <v>81</v>
      </c>
      <c r="Q82" t="s">
        <v>68</v>
      </c>
      <c r="R82" t="s">
        <v>97</v>
      </c>
      <c r="S82">
        <v>15</v>
      </c>
      <c r="T82" t="s">
        <v>70</v>
      </c>
      <c r="U82" t="s">
        <v>71</v>
      </c>
      <c r="V82" t="s">
        <v>83</v>
      </c>
      <c r="W82" t="s">
        <v>90</v>
      </c>
      <c r="X82" t="s">
        <v>95</v>
      </c>
      <c r="Y82" t="s">
        <v>85</v>
      </c>
      <c r="Z82" t="s">
        <v>91</v>
      </c>
      <c r="AA82" t="s">
        <v>76</v>
      </c>
      <c r="AB82" t="s">
        <v>86</v>
      </c>
      <c r="AC82" t="s">
        <v>87</v>
      </c>
      <c r="AD82" t="s">
        <v>104</v>
      </c>
      <c r="AE82">
        <v>0</v>
      </c>
      <c r="AF82" t="s">
        <v>80</v>
      </c>
      <c r="AG82" t="s">
        <v>80</v>
      </c>
      <c r="AH82" t="s">
        <v>80</v>
      </c>
      <c r="AI82" t="s">
        <v>80</v>
      </c>
      <c r="AJ82" t="s">
        <v>81</v>
      </c>
      <c r="AK82" t="s">
        <v>80</v>
      </c>
      <c r="AL82" t="s">
        <v>80</v>
      </c>
      <c r="AM82" t="s">
        <v>80</v>
      </c>
      <c r="AN82">
        <v>3</v>
      </c>
      <c r="AO82">
        <v>2</v>
      </c>
      <c r="AP82">
        <v>2</v>
      </c>
      <c r="AQ82">
        <v>1</v>
      </c>
      <c r="AR82">
        <v>3</v>
      </c>
      <c r="AS82">
        <v>3</v>
      </c>
      <c r="AT82">
        <v>2</v>
      </c>
      <c r="AU82" t="s">
        <v>102</v>
      </c>
      <c r="AV82">
        <v>12</v>
      </c>
      <c r="AW82">
        <v>12</v>
      </c>
    </row>
    <row r="83" spans="16:49" x14ac:dyDescent="0.25">
      <c r="P83">
        <v>82</v>
      </c>
      <c r="Q83" t="s">
        <v>68</v>
      </c>
      <c r="R83" t="s">
        <v>97</v>
      </c>
      <c r="S83">
        <v>15</v>
      </c>
      <c r="T83" t="s">
        <v>70</v>
      </c>
      <c r="U83" t="s">
        <v>71</v>
      </c>
      <c r="V83" t="s">
        <v>83</v>
      </c>
      <c r="W83" t="s">
        <v>90</v>
      </c>
      <c r="X83" t="s">
        <v>95</v>
      </c>
      <c r="Y83" t="s">
        <v>85</v>
      </c>
      <c r="Z83" t="s">
        <v>85</v>
      </c>
      <c r="AA83" t="s">
        <v>92</v>
      </c>
      <c r="AB83" t="s">
        <v>77</v>
      </c>
      <c r="AC83" t="s">
        <v>87</v>
      </c>
      <c r="AD83" t="s">
        <v>93</v>
      </c>
      <c r="AE83">
        <v>0</v>
      </c>
      <c r="AF83" t="s">
        <v>80</v>
      </c>
      <c r="AG83" t="s">
        <v>81</v>
      </c>
      <c r="AH83" t="s">
        <v>80</v>
      </c>
      <c r="AI83" t="s">
        <v>81</v>
      </c>
      <c r="AJ83" t="s">
        <v>81</v>
      </c>
      <c r="AK83" t="s">
        <v>80</v>
      </c>
      <c r="AL83" t="s">
        <v>80</v>
      </c>
      <c r="AM83" t="s">
        <v>81</v>
      </c>
      <c r="AN83">
        <v>5</v>
      </c>
      <c r="AO83">
        <v>3</v>
      </c>
      <c r="AP83">
        <v>2</v>
      </c>
      <c r="AQ83">
        <v>1</v>
      </c>
      <c r="AR83">
        <v>2</v>
      </c>
      <c r="AS83">
        <v>5</v>
      </c>
      <c r="AT83">
        <v>4</v>
      </c>
      <c r="AU83" t="s">
        <v>108</v>
      </c>
      <c r="AV83">
        <v>10</v>
      </c>
      <c r="AW83">
        <v>11</v>
      </c>
    </row>
    <row r="84" spans="16:49" x14ac:dyDescent="0.25">
      <c r="P84">
        <v>83</v>
      </c>
      <c r="Q84" t="s">
        <v>68</v>
      </c>
      <c r="R84" t="s">
        <v>69</v>
      </c>
      <c r="S84">
        <v>15</v>
      </c>
      <c r="T84" t="s">
        <v>70</v>
      </c>
      <c r="U84" t="s">
        <v>88</v>
      </c>
      <c r="V84" t="s">
        <v>83</v>
      </c>
      <c r="W84" t="s">
        <v>95</v>
      </c>
      <c r="X84" t="s">
        <v>90</v>
      </c>
      <c r="Y84" t="s">
        <v>91</v>
      </c>
      <c r="Z84" t="s">
        <v>85</v>
      </c>
      <c r="AA84" t="s">
        <v>98</v>
      </c>
      <c r="AB84" t="s">
        <v>77</v>
      </c>
      <c r="AC84" t="s">
        <v>87</v>
      </c>
      <c r="AD84" t="s">
        <v>79</v>
      </c>
      <c r="AE84">
        <v>0</v>
      </c>
      <c r="AF84" t="s">
        <v>81</v>
      </c>
      <c r="AG84" t="s">
        <v>80</v>
      </c>
      <c r="AH84" t="s">
        <v>80</v>
      </c>
      <c r="AI84" t="s">
        <v>81</v>
      </c>
      <c r="AJ84" t="s">
        <v>80</v>
      </c>
      <c r="AK84" t="s">
        <v>80</v>
      </c>
      <c r="AL84" t="s">
        <v>80</v>
      </c>
      <c r="AM84" t="s">
        <v>81</v>
      </c>
      <c r="AN84">
        <v>4</v>
      </c>
      <c r="AO84">
        <v>4</v>
      </c>
      <c r="AP84">
        <v>4</v>
      </c>
      <c r="AQ84">
        <v>1</v>
      </c>
      <c r="AR84">
        <v>1</v>
      </c>
      <c r="AS84">
        <v>5</v>
      </c>
      <c r="AT84">
        <v>10</v>
      </c>
      <c r="AU84" t="s">
        <v>89</v>
      </c>
      <c r="AV84">
        <v>6</v>
      </c>
      <c r="AW84">
        <v>6</v>
      </c>
    </row>
    <row r="85" spans="16:49" x14ac:dyDescent="0.25">
      <c r="P85">
        <v>84</v>
      </c>
      <c r="Q85" t="s">
        <v>68</v>
      </c>
      <c r="R85" t="s">
        <v>97</v>
      </c>
      <c r="S85">
        <v>15</v>
      </c>
      <c r="T85" t="s">
        <v>70</v>
      </c>
      <c r="U85" t="s">
        <v>88</v>
      </c>
      <c r="V85" t="s">
        <v>83</v>
      </c>
      <c r="W85" t="s">
        <v>90</v>
      </c>
      <c r="X85" t="s">
        <v>90</v>
      </c>
      <c r="Y85" t="s">
        <v>91</v>
      </c>
      <c r="Z85" t="s">
        <v>91</v>
      </c>
      <c r="AA85" t="s">
        <v>92</v>
      </c>
      <c r="AB85" t="s">
        <v>77</v>
      </c>
      <c r="AC85" t="s">
        <v>78</v>
      </c>
      <c r="AD85" t="s">
        <v>79</v>
      </c>
      <c r="AE85">
        <v>0</v>
      </c>
      <c r="AF85" t="s">
        <v>81</v>
      </c>
      <c r="AG85" t="s">
        <v>81</v>
      </c>
      <c r="AH85" t="s">
        <v>80</v>
      </c>
      <c r="AI85" t="s">
        <v>80</v>
      </c>
      <c r="AJ85" t="s">
        <v>80</v>
      </c>
      <c r="AK85" t="s">
        <v>80</v>
      </c>
      <c r="AL85" t="s">
        <v>80</v>
      </c>
      <c r="AM85" t="s">
        <v>81</v>
      </c>
      <c r="AN85">
        <v>5</v>
      </c>
      <c r="AO85">
        <v>3</v>
      </c>
      <c r="AP85">
        <v>3</v>
      </c>
      <c r="AQ85">
        <v>1</v>
      </c>
      <c r="AR85">
        <v>3</v>
      </c>
      <c r="AS85">
        <v>4</v>
      </c>
      <c r="AT85">
        <v>4</v>
      </c>
      <c r="AU85" t="s">
        <v>94</v>
      </c>
      <c r="AV85">
        <v>15</v>
      </c>
      <c r="AW85">
        <v>15</v>
      </c>
    </row>
    <row r="86" spans="16:49" x14ac:dyDescent="0.25">
      <c r="P86">
        <v>85</v>
      </c>
      <c r="Q86" t="s">
        <v>68</v>
      </c>
      <c r="R86" t="s">
        <v>69</v>
      </c>
      <c r="S86">
        <v>15</v>
      </c>
      <c r="T86" t="s">
        <v>70</v>
      </c>
      <c r="U86" t="s">
        <v>71</v>
      </c>
      <c r="V86" t="s">
        <v>83</v>
      </c>
      <c r="W86" t="s">
        <v>84</v>
      </c>
      <c r="X86" t="s">
        <v>84</v>
      </c>
      <c r="Y86" t="s">
        <v>85</v>
      </c>
      <c r="Z86" t="s">
        <v>85</v>
      </c>
      <c r="AA86" t="s">
        <v>92</v>
      </c>
      <c r="AB86" t="s">
        <v>86</v>
      </c>
      <c r="AC86" t="s">
        <v>87</v>
      </c>
      <c r="AD86" t="s">
        <v>79</v>
      </c>
      <c r="AE86">
        <v>0</v>
      </c>
      <c r="AF86" t="s">
        <v>81</v>
      </c>
      <c r="AG86" t="s">
        <v>80</v>
      </c>
      <c r="AH86" t="s">
        <v>81</v>
      </c>
      <c r="AI86" t="s">
        <v>80</v>
      </c>
      <c r="AJ86" t="s">
        <v>81</v>
      </c>
      <c r="AK86" t="s">
        <v>80</v>
      </c>
      <c r="AL86" t="s">
        <v>80</v>
      </c>
      <c r="AM86" t="s">
        <v>81</v>
      </c>
      <c r="AN86">
        <v>4</v>
      </c>
      <c r="AO86">
        <v>3</v>
      </c>
      <c r="AP86">
        <v>2</v>
      </c>
      <c r="AQ86">
        <v>2</v>
      </c>
      <c r="AR86">
        <v>3</v>
      </c>
      <c r="AS86">
        <v>4</v>
      </c>
      <c r="AT86">
        <v>2</v>
      </c>
      <c r="AU86" t="s">
        <v>109</v>
      </c>
      <c r="AV86">
        <v>10</v>
      </c>
      <c r="AW86">
        <v>10</v>
      </c>
    </row>
    <row r="87" spans="16:49" x14ac:dyDescent="0.25">
      <c r="P87">
        <v>86</v>
      </c>
      <c r="Q87" t="s">
        <v>68</v>
      </c>
      <c r="R87" t="s">
        <v>69</v>
      </c>
      <c r="S87">
        <v>15</v>
      </c>
      <c r="T87" t="s">
        <v>70</v>
      </c>
      <c r="U87" t="s">
        <v>71</v>
      </c>
      <c r="V87" t="s">
        <v>83</v>
      </c>
      <c r="W87" t="s">
        <v>73</v>
      </c>
      <c r="X87" t="s">
        <v>73</v>
      </c>
      <c r="Y87" t="s">
        <v>91</v>
      </c>
      <c r="Z87" t="s">
        <v>91</v>
      </c>
      <c r="AA87" t="s">
        <v>98</v>
      </c>
      <c r="AB87" t="s">
        <v>86</v>
      </c>
      <c r="AC87" t="s">
        <v>78</v>
      </c>
      <c r="AD87" t="s">
        <v>79</v>
      </c>
      <c r="AE87">
        <v>2</v>
      </c>
      <c r="AF87" t="s">
        <v>81</v>
      </c>
      <c r="AG87" t="s">
        <v>81</v>
      </c>
      <c r="AH87" t="s">
        <v>80</v>
      </c>
      <c r="AI87" t="s">
        <v>81</v>
      </c>
      <c r="AJ87" t="s">
        <v>80</v>
      </c>
      <c r="AK87" t="s">
        <v>80</v>
      </c>
      <c r="AL87" t="s">
        <v>80</v>
      </c>
      <c r="AM87" t="s">
        <v>80</v>
      </c>
      <c r="AN87">
        <v>4</v>
      </c>
      <c r="AO87">
        <v>4</v>
      </c>
      <c r="AP87">
        <v>4</v>
      </c>
      <c r="AQ87">
        <v>2</v>
      </c>
      <c r="AR87">
        <v>3</v>
      </c>
      <c r="AS87">
        <v>5</v>
      </c>
      <c r="AT87">
        <v>6</v>
      </c>
      <c r="AU87" t="s">
        <v>89</v>
      </c>
      <c r="AV87">
        <v>9</v>
      </c>
      <c r="AW87">
        <v>8</v>
      </c>
    </row>
    <row r="88" spans="16:49" x14ac:dyDescent="0.25">
      <c r="P88">
        <v>87</v>
      </c>
      <c r="Q88" t="s">
        <v>68</v>
      </c>
      <c r="R88" t="s">
        <v>69</v>
      </c>
      <c r="S88">
        <v>16</v>
      </c>
      <c r="T88" t="s">
        <v>70</v>
      </c>
      <c r="U88" t="s">
        <v>88</v>
      </c>
      <c r="V88" t="s">
        <v>83</v>
      </c>
      <c r="W88" t="s">
        <v>90</v>
      </c>
      <c r="X88" t="s">
        <v>90</v>
      </c>
      <c r="Y88" t="s">
        <v>74</v>
      </c>
      <c r="Z88" t="s">
        <v>85</v>
      </c>
      <c r="AA88" t="s">
        <v>76</v>
      </c>
      <c r="AB88" t="s">
        <v>77</v>
      </c>
      <c r="AC88" t="s">
        <v>87</v>
      </c>
      <c r="AD88" t="s">
        <v>79</v>
      </c>
      <c r="AE88">
        <v>0</v>
      </c>
      <c r="AF88" t="s">
        <v>81</v>
      </c>
      <c r="AG88" t="s">
        <v>80</v>
      </c>
      <c r="AH88" t="s">
        <v>81</v>
      </c>
      <c r="AI88" t="s">
        <v>81</v>
      </c>
      <c r="AJ88" t="s">
        <v>80</v>
      </c>
      <c r="AK88" t="s">
        <v>80</v>
      </c>
      <c r="AL88" t="s">
        <v>81</v>
      </c>
      <c r="AM88" t="s">
        <v>81</v>
      </c>
      <c r="AN88">
        <v>4</v>
      </c>
      <c r="AO88">
        <v>3</v>
      </c>
      <c r="AP88">
        <v>4</v>
      </c>
      <c r="AQ88">
        <v>1</v>
      </c>
      <c r="AR88">
        <v>2</v>
      </c>
      <c r="AS88">
        <v>2</v>
      </c>
      <c r="AT88">
        <v>4</v>
      </c>
      <c r="AU88" t="s">
        <v>106</v>
      </c>
      <c r="AV88">
        <v>7</v>
      </c>
      <c r="AW88">
        <v>6</v>
      </c>
    </row>
    <row r="89" spans="16:49" x14ac:dyDescent="0.25">
      <c r="P89">
        <v>88</v>
      </c>
      <c r="Q89" t="s">
        <v>68</v>
      </c>
      <c r="R89" t="s">
        <v>69</v>
      </c>
      <c r="S89">
        <v>15</v>
      </c>
      <c r="T89" t="s">
        <v>70</v>
      </c>
      <c r="U89" t="s">
        <v>71</v>
      </c>
      <c r="V89" t="s">
        <v>83</v>
      </c>
      <c r="W89" t="s">
        <v>73</v>
      </c>
      <c r="X89" t="s">
        <v>90</v>
      </c>
      <c r="Y89" t="s">
        <v>85</v>
      </c>
      <c r="Z89" t="s">
        <v>85</v>
      </c>
      <c r="AA89" t="s">
        <v>98</v>
      </c>
      <c r="AB89" t="s">
        <v>77</v>
      </c>
      <c r="AC89" t="s">
        <v>87</v>
      </c>
      <c r="AD89" t="s">
        <v>93</v>
      </c>
      <c r="AE89">
        <v>0</v>
      </c>
      <c r="AF89" t="s">
        <v>81</v>
      </c>
      <c r="AG89" t="s">
        <v>80</v>
      </c>
      <c r="AH89" t="s">
        <v>81</v>
      </c>
      <c r="AI89" t="s">
        <v>80</v>
      </c>
      <c r="AJ89" t="s">
        <v>80</v>
      </c>
      <c r="AK89" t="s">
        <v>80</v>
      </c>
      <c r="AL89" t="s">
        <v>80</v>
      </c>
      <c r="AM89" t="s">
        <v>81</v>
      </c>
      <c r="AN89">
        <v>5</v>
      </c>
      <c r="AO89">
        <v>3</v>
      </c>
      <c r="AP89">
        <v>3</v>
      </c>
      <c r="AQ89">
        <v>1</v>
      </c>
      <c r="AR89">
        <v>3</v>
      </c>
      <c r="AS89">
        <v>1</v>
      </c>
      <c r="AT89">
        <v>4</v>
      </c>
      <c r="AU89" t="s">
        <v>105</v>
      </c>
      <c r="AV89">
        <v>14</v>
      </c>
      <c r="AW89">
        <v>14</v>
      </c>
    </row>
    <row r="90" spans="16:49" x14ac:dyDescent="0.25">
      <c r="P90">
        <v>89</v>
      </c>
      <c r="Q90" t="s">
        <v>68</v>
      </c>
      <c r="R90" t="s">
        <v>97</v>
      </c>
      <c r="S90">
        <v>16</v>
      </c>
      <c r="T90" t="s">
        <v>70</v>
      </c>
      <c r="U90" t="s">
        <v>71</v>
      </c>
      <c r="V90" t="s">
        <v>83</v>
      </c>
      <c r="W90" t="s">
        <v>90</v>
      </c>
      <c r="X90" t="s">
        <v>90</v>
      </c>
      <c r="Y90" t="s">
        <v>91</v>
      </c>
      <c r="Z90" t="s">
        <v>85</v>
      </c>
      <c r="AA90" t="s">
        <v>98</v>
      </c>
      <c r="AB90" t="s">
        <v>86</v>
      </c>
      <c r="AC90" t="s">
        <v>78</v>
      </c>
      <c r="AD90" t="s">
        <v>79</v>
      </c>
      <c r="AE90">
        <v>1</v>
      </c>
      <c r="AF90" t="s">
        <v>81</v>
      </c>
      <c r="AG90" t="s">
        <v>81</v>
      </c>
      <c r="AH90" t="s">
        <v>80</v>
      </c>
      <c r="AI90" t="s">
        <v>80</v>
      </c>
      <c r="AJ90" t="s">
        <v>81</v>
      </c>
      <c r="AK90" t="s">
        <v>80</v>
      </c>
      <c r="AL90" t="s">
        <v>80</v>
      </c>
      <c r="AM90" t="s">
        <v>81</v>
      </c>
      <c r="AN90">
        <v>4</v>
      </c>
      <c r="AO90">
        <v>4</v>
      </c>
      <c r="AP90">
        <v>2</v>
      </c>
      <c r="AQ90">
        <v>1</v>
      </c>
      <c r="AR90">
        <v>1</v>
      </c>
      <c r="AS90">
        <v>3</v>
      </c>
      <c r="AT90">
        <v>12</v>
      </c>
      <c r="AU90" t="s">
        <v>108</v>
      </c>
      <c r="AV90">
        <v>10</v>
      </c>
      <c r="AW90">
        <v>10</v>
      </c>
    </row>
    <row r="91" spans="16:49" x14ac:dyDescent="0.25">
      <c r="P91">
        <v>90</v>
      </c>
      <c r="Q91" t="s">
        <v>68</v>
      </c>
      <c r="R91" t="s">
        <v>97</v>
      </c>
      <c r="S91">
        <v>16</v>
      </c>
      <c r="T91" t="s">
        <v>70</v>
      </c>
      <c r="U91" t="s">
        <v>88</v>
      </c>
      <c r="V91" t="s">
        <v>72</v>
      </c>
      <c r="W91" t="s">
        <v>73</v>
      </c>
      <c r="X91" t="s">
        <v>73</v>
      </c>
      <c r="Y91" t="s">
        <v>75</v>
      </c>
      <c r="Z91" t="s">
        <v>63</v>
      </c>
      <c r="AA91" t="s">
        <v>98</v>
      </c>
      <c r="AB91" t="s">
        <v>77</v>
      </c>
      <c r="AC91" t="s">
        <v>87</v>
      </c>
      <c r="AD91" t="s">
        <v>79</v>
      </c>
      <c r="AE91">
        <v>0</v>
      </c>
      <c r="AF91" t="s">
        <v>81</v>
      </c>
      <c r="AG91" t="s">
        <v>80</v>
      </c>
      <c r="AH91" t="s">
        <v>81</v>
      </c>
      <c r="AI91" t="s">
        <v>81</v>
      </c>
      <c r="AJ91" t="s">
        <v>80</v>
      </c>
      <c r="AK91" t="s">
        <v>80</v>
      </c>
      <c r="AL91" t="s">
        <v>81</v>
      </c>
      <c r="AM91" t="s">
        <v>81</v>
      </c>
      <c r="AN91">
        <v>4</v>
      </c>
      <c r="AO91">
        <v>1</v>
      </c>
      <c r="AP91">
        <v>3</v>
      </c>
      <c r="AQ91">
        <v>3</v>
      </c>
      <c r="AR91">
        <v>5</v>
      </c>
      <c r="AS91">
        <v>5</v>
      </c>
      <c r="AT91">
        <v>18</v>
      </c>
      <c r="AU91" t="s">
        <v>106</v>
      </c>
      <c r="AV91">
        <v>6</v>
      </c>
      <c r="AW91">
        <v>7</v>
      </c>
    </row>
    <row r="92" spans="16:49" x14ac:dyDescent="0.25">
      <c r="P92">
        <v>91</v>
      </c>
      <c r="Q92" t="s">
        <v>68</v>
      </c>
      <c r="R92" t="s">
        <v>69</v>
      </c>
      <c r="S92">
        <v>16</v>
      </c>
      <c r="T92" t="s">
        <v>70</v>
      </c>
      <c r="U92" t="s">
        <v>71</v>
      </c>
      <c r="V92" t="s">
        <v>83</v>
      </c>
      <c r="W92" t="s">
        <v>95</v>
      </c>
      <c r="X92" t="s">
        <v>95</v>
      </c>
      <c r="Y92" t="s">
        <v>85</v>
      </c>
      <c r="Z92" t="s">
        <v>85</v>
      </c>
      <c r="AA92" t="s">
        <v>92</v>
      </c>
      <c r="AB92" t="s">
        <v>77</v>
      </c>
      <c r="AC92" t="s">
        <v>87</v>
      </c>
      <c r="AD92" t="s">
        <v>93</v>
      </c>
      <c r="AE92">
        <v>0</v>
      </c>
      <c r="AF92" t="s">
        <v>81</v>
      </c>
      <c r="AG92" t="s">
        <v>80</v>
      </c>
      <c r="AH92" t="s">
        <v>80</v>
      </c>
      <c r="AI92" t="s">
        <v>81</v>
      </c>
      <c r="AJ92" t="s">
        <v>80</v>
      </c>
      <c r="AK92" t="s">
        <v>80</v>
      </c>
      <c r="AL92" t="s">
        <v>80</v>
      </c>
      <c r="AM92" t="s">
        <v>80</v>
      </c>
      <c r="AN92">
        <v>4</v>
      </c>
      <c r="AO92">
        <v>3</v>
      </c>
      <c r="AP92">
        <v>3</v>
      </c>
      <c r="AQ92">
        <v>1</v>
      </c>
      <c r="AR92">
        <v>3</v>
      </c>
      <c r="AS92">
        <v>4</v>
      </c>
      <c r="AT92">
        <v>0</v>
      </c>
      <c r="AU92" t="s">
        <v>89</v>
      </c>
      <c r="AV92">
        <v>7</v>
      </c>
      <c r="AW92">
        <v>8</v>
      </c>
    </row>
    <row r="93" spans="16:49" x14ac:dyDescent="0.25">
      <c r="P93">
        <v>92</v>
      </c>
      <c r="Q93" t="s">
        <v>68</v>
      </c>
      <c r="R93" t="s">
        <v>69</v>
      </c>
      <c r="S93">
        <v>15</v>
      </c>
      <c r="T93" t="s">
        <v>70</v>
      </c>
      <c r="U93" t="s">
        <v>71</v>
      </c>
      <c r="V93" t="s">
        <v>83</v>
      </c>
      <c r="W93" t="s">
        <v>73</v>
      </c>
      <c r="X93" t="s">
        <v>95</v>
      </c>
      <c r="Y93" t="s">
        <v>91</v>
      </c>
      <c r="Z93" t="s">
        <v>85</v>
      </c>
      <c r="AA93" t="s">
        <v>98</v>
      </c>
      <c r="AB93" t="s">
        <v>77</v>
      </c>
      <c r="AC93" t="s">
        <v>87</v>
      </c>
      <c r="AD93" t="s">
        <v>104</v>
      </c>
      <c r="AE93">
        <v>0</v>
      </c>
      <c r="AF93" t="s">
        <v>81</v>
      </c>
      <c r="AG93" t="s">
        <v>81</v>
      </c>
      <c r="AH93" t="s">
        <v>80</v>
      </c>
      <c r="AI93" t="s">
        <v>80</v>
      </c>
      <c r="AJ93" t="s">
        <v>80</v>
      </c>
      <c r="AK93" t="s">
        <v>80</v>
      </c>
      <c r="AL93" t="s">
        <v>80</v>
      </c>
      <c r="AM93" t="s">
        <v>81</v>
      </c>
      <c r="AN93">
        <v>4</v>
      </c>
      <c r="AO93">
        <v>5</v>
      </c>
      <c r="AP93">
        <v>5</v>
      </c>
      <c r="AQ93">
        <v>1</v>
      </c>
      <c r="AR93">
        <v>3</v>
      </c>
      <c r="AS93">
        <v>1</v>
      </c>
      <c r="AT93">
        <v>4</v>
      </c>
      <c r="AU93" t="s">
        <v>100</v>
      </c>
      <c r="AV93">
        <v>17</v>
      </c>
      <c r="AW93">
        <v>18</v>
      </c>
    </row>
    <row r="94" spans="16:49" x14ac:dyDescent="0.25">
      <c r="P94">
        <v>93</v>
      </c>
      <c r="Q94" t="s">
        <v>68</v>
      </c>
      <c r="R94" t="s">
        <v>69</v>
      </c>
      <c r="S94">
        <v>16</v>
      </c>
      <c r="T94" t="s">
        <v>70</v>
      </c>
      <c r="U94" t="s">
        <v>88</v>
      </c>
      <c r="V94" t="s">
        <v>83</v>
      </c>
      <c r="W94" t="s">
        <v>95</v>
      </c>
      <c r="X94" t="s">
        <v>84</v>
      </c>
      <c r="Y94" t="s">
        <v>85</v>
      </c>
      <c r="Z94" t="s">
        <v>85</v>
      </c>
      <c r="AA94" t="s">
        <v>92</v>
      </c>
      <c r="AB94" t="s">
        <v>86</v>
      </c>
      <c r="AC94" t="s">
        <v>87</v>
      </c>
      <c r="AD94" t="s">
        <v>79</v>
      </c>
      <c r="AE94">
        <v>0</v>
      </c>
      <c r="AF94" t="s">
        <v>80</v>
      </c>
      <c r="AG94" t="s">
        <v>80</v>
      </c>
      <c r="AH94" t="s">
        <v>81</v>
      </c>
      <c r="AI94" t="s">
        <v>81</v>
      </c>
      <c r="AJ94" t="s">
        <v>80</v>
      </c>
      <c r="AK94" t="s">
        <v>80</v>
      </c>
      <c r="AL94" t="s">
        <v>81</v>
      </c>
      <c r="AM94" t="s">
        <v>81</v>
      </c>
      <c r="AN94">
        <v>3</v>
      </c>
      <c r="AO94">
        <v>3</v>
      </c>
      <c r="AP94">
        <v>3</v>
      </c>
      <c r="AQ94">
        <v>2</v>
      </c>
      <c r="AR94">
        <v>3</v>
      </c>
      <c r="AS94">
        <v>2</v>
      </c>
      <c r="AT94">
        <v>4</v>
      </c>
      <c r="AU94" t="s">
        <v>89</v>
      </c>
      <c r="AV94">
        <v>6</v>
      </c>
      <c r="AW94">
        <v>6</v>
      </c>
    </row>
    <row r="95" spans="16:49" x14ac:dyDescent="0.25">
      <c r="P95">
        <v>94</v>
      </c>
      <c r="Q95" t="s">
        <v>68</v>
      </c>
      <c r="R95" t="s">
        <v>69</v>
      </c>
      <c r="S95">
        <v>16</v>
      </c>
      <c r="T95" t="s">
        <v>70</v>
      </c>
      <c r="U95" t="s">
        <v>71</v>
      </c>
      <c r="V95" t="s">
        <v>83</v>
      </c>
      <c r="W95" t="s">
        <v>73</v>
      </c>
      <c r="X95" t="s">
        <v>90</v>
      </c>
      <c r="Y95" t="s">
        <v>75</v>
      </c>
      <c r="Z95" t="s">
        <v>91</v>
      </c>
      <c r="AA95" t="s">
        <v>92</v>
      </c>
      <c r="AB95" t="s">
        <v>77</v>
      </c>
      <c r="AC95" t="s">
        <v>78</v>
      </c>
      <c r="AD95" t="s">
        <v>79</v>
      </c>
      <c r="AE95">
        <v>0</v>
      </c>
      <c r="AF95" t="s">
        <v>81</v>
      </c>
      <c r="AG95" t="s">
        <v>80</v>
      </c>
      <c r="AH95" t="s">
        <v>80</v>
      </c>
      <c r="AI95" t="s">
        <v>80</v>
      </c>
      <c r="AJ95" t="s">
        <v>80</v>
      </c>
      <c r="AK95" t="s">
        <v>80</v>
      </c>
      <c r="AL95" t="s">
        <v>80</v>
      </c>
      <c r="AM95" t="s">
        <v>81</v>
      </c>
      <c r="AN95">
        <v>5</v>
      </c>
      <c r="AO95">
        <v>3</v>
      </c>
      <c r="AP95">
        <v>3</v>
      </c>
      <c r="AQ95">
        <v>1</v>
      </c>
      <c r="AR95">
        <v>1</v>
      </c>
      <c r="AS95">
        <v>1</v>
      </c>
      <c r="AT95">
        <v>0</v>
      </c>
      <c r="AU95" t="s">
        <v>108</v>
      </c>
      <c r="AV95">
        <v>10</v>
      </c>
      <c r="AW95">
        <v>10</v>
      </c>
    </row>
    <row r="96" spans="16:49" x14ac:dyDescent="0.25">
      <c r="P96">
        <v>95</v>
      </c>
      <c r="Q96" t="s">
        <v>68</v>
      </c>
      <c r="R96" t="s">
        <v>97</v>
      </c>
      <c r="S96">
        <v>15</v>
      </c>
      <c r="T96" t="s">
        <v>70</v>
      </c>
      <c r="U96" t="s">
        <v>88</v>
      </c>
      <c r="V96" t="s">
        <v>83</v>
      </c>
      <c r="W96" t="s">
        <v>90</v>
      </c>
      <c r="X96" t="s">
        <v>90</v>
      </c>
      <c r="Y96" t="s">
        <v>91</v>
      </c>
      <c r="Z96" t="s">
        <v>63</v>
      </c>
      <c r="AA96" t="s">
        <v>98</v>
      </c>
      <c r="AB96" t="s">
        <v>77</v>
      </c>
      <c r="AC96" t="s">
        <v>87</v>
      </c>
      <c r="AD96" t="s">
        <v>112</v>
      </c>
      <c r="AE96">
        <v>0</v>
      </c>
      <c r="AF96" t="s">
        <v>81</v>
      </c>
      <c r="AG96" t="s">
        <v>80</v>
      </c>
      <c r="AH96" t="s">
        <v>81</v>
      </c>
      <c r="AI96" t="s">
        <v>80</v>
      </c>
      <c r="AJ96" t="s">
        <v>80</v>
      </c>
      <c r="AK96" t="s">
        <v>80</v>
      </c>
      <c r="AL96" t="s">
        <v>80</v>
      </c>
      <c r="AM96" t="s">
        <v>81</v>
      </c>
      <c r="AN96">
        <v>4</v>
      </c>
      <c r="AO96">
        <v>3</v>
      </c>
      <c r="AP96">
        <v>4</v>
      </c>
      <c r="AQ96">
        <v>1</v>
      </c>
      <c r="AR96">
        <v>1</v>
      </c>
      <c r="AS96">
        <v>4</v>
      </c>
      <c r="AT96">
        <v>6</v>
      </c>
      <c r="AU96" t="s">
        <v>108</v>
      </c>
      <c r="AV96">
        <v>13</v>
      </c>
      <c r="AW96">
        <v>14</v>
      </c>
    </row>
    <row r="97" spans="16:49" x14ac:dyDescent="0.25">
      <c r="P97">
        <v>96</v>
      </c>
      <c r="Q97" t="s">
        <v>68</v>
      </c>
      <c r="R97" t="s">
        <v>69</v>
      </c>
      <c r="S97">
        <v>15</v>
      </c>
      <c r="T97" t="s">
        <v>107</v>
      </c>
      <c r="U97" t="s">
        <v>71</v>
      </c>
      <c r="V97" t="s">
        <v>83</v>
      </c>
      <c r="W97" t="s">
        <v>84</v>
      </c>
      <c r="X97" t="s">
        <v>84</v>
      </c>
      <c r="Y97" t="s">
        <v>74</v>
      </c>
      <c r="Z97" t="s">
        <v>85</v>
      </c>
      <c r="AA97" t="s">
        <v>92</v>
      </c>
      <c r="AB97" t="s">
        <v>77</v>
      </c>
      <c r="AC97" t="s">
        <v>78</v>
      </c>
      <c r="AD97" t="s">
        <v>112</v>
      </c>
      <c r="AE97">
        <v>1</v>
      </c>
      <c r="AF97" t="s">
        <v>80</v>
      </c>
      <c r="AG97" t="s">
        <v>80</v>
      </c>
      <c r="AH97" t="s">
        <v>80</v>
      </c>
      <c r="AI97" t="s">
        <v>80</v>
      </c>
      <c r="AJ97" t="s">
        <v>80</v>
      </c>
      <c r="AK97" t="s">
        <v>80</v>
      </c>
      <c r="AL97" t="s">
        <v>80</v>
      </c>
      <c r="AM97" t="s">
        <v>81</v>
      </c>
      <c r="AN97">
        <v>3</v>
      </c>
      <c r="AO97">
        <v>1</v>
      </c>
      <c r="AP97">
        <v>2</v>
      </c>
      <c r="AQ97">
        <v>1</v>
      </c>
      <c r="AR97">
        <v>1</v>
      </c>
      <c r="AS97">
        <v>1</v>
      </c>
      <c r="AT97">
        <v>2</v>
      </c>
      <c r="AU97" t="s">
        <v>89</v>
      </c>
      <c r="AV97">
        <v>10</v>
      </c>
      <c r="AW97">
        <v>10</v>
      </c>
    </row>
    <row r="98" spans="16:49" x14ac:dyDescent="0.25">
      <c r="P98">
        <v>97</v>
      </c>
      <c r="Q98" t="s">
        <v>68</v>
      </c>
      <c r="R98" t="s">
        <v>97</v>
      </c>
      <c r="S98">
        <v>16</v>
      </c>
      <c r="T98" t="s">
        <v>107</v>
      </c>
      <c r="U98" t="s">
        <v>71</v>
      </c>
      <c r="V98" t="s">
        <v>83</v>
      </c>
      <c r="W98" t="s">
        <v>73</v>
      </c>
      <c r="X98" t="s">
        <v>95</v>
      </c>
      <c r="Y98" t="s">
        <v>91</v>
      </c>
      <c r="Z98" t="s">
        <v>85</v>
      </c>
      <c r="AA98" t="s">
        <v>98</v>
      </c>
      <c r="AB98" t="s">
        <v>77</v>
      </c>
      <c r="AC98" t="s">
        <v>78</v>
      </c>
      <c r="AD98" t="s">
        <v>104</v>
      </c>
      <c r="AE98">
        <v>0</v>
      </c>
      <c r="AF98" t="s">
        <v>80</v>
      </c>
      <c r="AG98" t="s">
        <v>80</v>
      </c>
      <c r="AH98" t="s">
        <v>81</v>
      </c>
      <c r="AI98" t="s">
        <v>80</v>
      </c>
      <c r="AJ98" t="s">
        <v>81</v>
      </c>
      <c r="AK98" t="s">
        <v>80</v>
      </c>
      <c r="AL98" t="s">
        <v>80</v>
      </c>
      <c r="AM98" t="s">
        <v>81</v>
      </c>
      <c r="AN98">
        <v>3</v>
      </c>
      <c r="AO98">
        <v>3</v>
      </c>
      <c r="AP98">
        <v>3</v>
      </c>
      <c r="AQ98">
        <v>1</v>
      </c>
      <c r="AR98">
        <v>1</v>
      </c>
      <c r="AS98">
        <v>4</v>
      </c>
      <c r="AT98">
        <v>2</v>
      </c>
      <c r="AU98" t="s">
        <v>108</v>
      </c>
      <c r="AV98">
        <v>15</v>
      </c>
      <c r="AW98">
        <v>15</v>
      </c>
    </row>
    <row r="99" spans="16:49" x14ac:dyDescent="0.25">
      <c r="P99">
        <v>98</v>
      </c>
      <c r="Q99" t="s">
        <v>68</v>
      </c>
      <c r="R99" t="s">
        <v>69</v>
      </c>
      <c r="S99">
        <v>16</v>
      </c>
      <c r="T99" t="s">
        <v>70</v>
      </c>
      <c r="U99" t="s">
        <v>71</v>
      </c>
      <c r="V99" t="s">
        <v>83</v>
      </c>
      <c r="W99" t="s">
        <v>90</v>
      </c>
      <c r="X99" t="s">
        <v>84</v>
      </c>
      <c r="Y99" t="s">
        <v>85</v>
      </c>
      <c r="Z99" t="s">
        <v>85</v>
      </c>
      <c r="AA99" t="s">
        <v>76</v>
      </c>
      <c r="AB99" t="s">
        <v>77</v>
      </c>
      <c r="AC99" t="s">
        <v>87</v>
      </c>
      <c r="AD99" t="s">
        <v>79</v>
      </c>
      <c r="AE99">
        <v>0</v>
      </c>
      <c r="AF99" t="s">
        <v>81</v>
      </c>
      <c r="AG99" t="s">
        <v>80</v>
      </c>
      <c r="AH99" t="s">
        <v>80</v>
      </c>
      <c r="AI99" t="s">
        <v>81</v>
      </c>
      <c r="AJ99" t="s">
        <v>80</v>
      </c>
      <c r="AK99" t="s">
        <v>80</v>
      </c>
      <c r="AL99" t="s">
        <v>81</v>
      </c>
      <c r="AM99" t="s">
        <v>80</v>
      </c>
      <c r="AN99">
        <v>4</v>
      </c>
      <c r="AO99">
        <v>3</v>
      </c>
      <c r="AP99">
        <v>5</v>
      </c>
      <c r="AQ99">
        <v>1</v>
      </c>
      <c r="AR99">
        <v>1</v>
      </c>
      <c r="AS99">
        <v>5</v>
      </c>
      <c r="AT99">
        <v>2</v>
      </c>
      <c r="AU99" t="s">
        <v>106</v>
      </c>
      <c r="AV99">
        <v>9</v>
      </c>
      <c r="AW99">
        <v>10</v>
      </c>
    </row>
    <row r="100" spans="16:49" x14ac:dyDescent="0.25">
      <c r="P100">
        <v>99</v>
      </c>
      <c r="Q100" t="s">
        <v>68</v>
      </c>
      <c r="R100" t="s">
        <v>69</v>
      </c>
      <c r="S100">
        <v>16</v>
      </c>
      <c r="T100" t="s">
        <v>70</v>
      </c>
      <c r="U100" t="s">
        <v>71</v>
      </c>
      <c r="V100" t="s">
        <v>83</v>
      </c>
      <c r="W100" t="s">
        <v>73</v>
      </c>
      <c r="X100" t="s">
        <v>73</v>
      </c>
      <c r="Y100" t="s">
        <v>85</v>
      </c>
      <c r="Z100" t="s">
        <v>85</v>
      </c>
      <c r="AA100" t="s">
        <v>98</v>
      </c>
      <c r="AB100" t="s">
        <v>77</v>
      </c>
      <c r="AC100" t="s">
        <v>87</v>
      </c>
      <c r="AD100" t="s">
        <v>104</v>
      </c>
      <c r="AE100">
        <v>0</v>
      </c>
      <c r="AF100" t="s">
        <v>81</v>
      </c>
      <c r="AG100" t="s">
        <v>81</v>
      </c>
      <c r="AH100" t="s">
        <v>81</v>
      </c>
      <c r="AI100" t="s">
        <v>80</v>
      </c>
      <c r="AJ100" t="s">
        <v>81</v>
      </c>
      <c r="AK100" t="s">
        <v>80</v>
      </c>
      <c r="AL100" t="s">
        <v>80</v>
      </c>
      <c r="AM100" t="s">
        <v>81</v>
      </c>
      <c r="AN100">
        <v>5</v>
      </c>
      <c r="AO100">
        <v>3</v>
      </c>
      <c r="AP100">
        <v>4</v>
      </c>
      <c r="AQ100">
        <v>1</v>
      </c>
      <c r="AR100">
        <v>2</v>
      </c>
      <c r="AS100">
        <v>1</v>
      </c>
      <c r="AT100">
        <v>6</v>
      </c>
      <c r="AU100" t="s">
        <v>108</v>
      </c>
      <c r="AV100">
        <v>14</v>
      </c>
      <c r="AW100">
        <v>14</v>
      </c>
    </row>
    <row r="101" spans="16:49" x14ac:dyDescent="0.25">
      <c r="P101">
        <v>100</v>
      </c>
      <c r="Q101" t="s">
        <v>68</v>
      </c>
      <c r="R101" t="s">
        <v>69</v>
      </c>
      <c r="S101">
        <v>16</v>
      </c>
      <c r="T101" t="s">
        <v>70</v>
      </c>
      <c r="U101" t="s">
        <v>71</v>
      </c>
      <c r="V101" t="s">
        <v>83</v>
      </c>
      <c r="W101" t="s">
        <v>73</v>
      </c>
      <c r="X101" t="s">
        <v>95</v>
      </c>
      <c r="Y101" t="s">
        <v>85</v>
      </c>
      <c r="Z101" t="s">
        <v>74</v>
      </c>
      <c r="AA101" t="s">
        <v>76</v>
      </c>
      <c r="AB101" t="s">
        <v>77</v>
      </c>
      <c r="AC101" t="s">
        <v>87</v>
      </c>
      <c r="AD101" t="s">
        <v>93</v>
      </c>
      <c r="AE101">
        <v>0</v>
      </c>
      <c r="AF101" t="s">
        <v>80</v>
      </c>
      <c r="AG101" t="s">
        <v>80</v>
      </c>
      <c r="AH101" t="s">
        <v>80</v>
      </c>
      <c r="AI101" t="s">
        <v>81</v>
      </c>
      <c r="AJ101" t="s">
        <v>80</v>
      </c>
      <c r="AK101" t="s">
        <v>80</v>
      </c>
      <c r="AL101" t="s">
        <v>80</v>
      </c>
      <c r="AM101" t="s">
        <v>81</v>
      </c>
      <c r="AN101">
        <v>5</v>
      </c>
      <c r="AO101">
        <v>3</v>
      </c>
      <c r="AP101">
        <v>5</v>
      </c>
      <c r="AQ101">
        <v>1</v>
      </c>
      <c r="AR101">
        <v>1</v>
      </c>
      <c r="AS101">
        <v>3</v>
      </c>
      <c r="AT101">
        <v>0</v>
      </c>
      <c r="AU101" t="s">
        <v>89</v>
      </c>
      <c r="AV101">
        <v>9</v>
      </c>
      <c r="AW101">
        <v>8</v>
      </c>
    </row>
    <row r="102" spans="16:49" x14ac:dyDescent="0.25">
      <c r="P102">
        <v>101</v>
      </c>
      <c r="Q102" t="s">
        <v>68</v>
      </c>
      <c r="R102" t="s">
        <v>97</v>
      </c>
      <c r="S102">
        <v>16</v>
      </c>
      <c r="T102" t="s">
        <v>70</v>
      </c>
      <c r="U102" t="s">
        <v>71</v>
      </c>
      <c r="V102" t="s">
        <v>83</v>
      </c>
      <c r="W102" t="s">
        <v>73</v>
      </c>
      <c r="X102" t="s">
        <v>73</v>
      </c>
      <c r="Y102" t="s">
        <v>91</v>
      </c>
      <c r="Z102" t="s">
        <v>91</v>
      </c>
      <c r="AA102" t="s">
        <v>85</v>
      </c>
      <c r="AB102" t="s">
        <v>77</v>
      </c>
      <c r="AC102" t="s">
        <v>87</v>
      </c>
      <c r="AD102" t="s">
        <v>104</v>
      </c>
      <c r="AE102">
        <v>0</v>
      </c>
      <c r="AF102" t="s">
        <v>80</v>
      </c>
      <c r="AG102" t="s">
        <v>80</v>
      </c>
      <c r="AH102" t="s">
        <v>80</v>
      </c>
      <c r="AI102" t="s">
        <v>80</v>
      </c>
      <c r="AJ102" t="s">
        <v>80</v>
      </c>
      <c r="AK102" t="s">
        <v>80</v>
      </c>
      <c r="AL102" t="s">
        <v>80</v>
      </c>
      <c r="AM102" t="s">
        <v>81</v>
      </c>
      <c r="AN102">
        <v>4</v>
      </c>
      <c r="AO102">
        <v>5</v>
      </c>
      <c r="AP102">
        <v>5</v>
      </c>
      <c r="AQ102">
        <v>5</v>
      </c>
      <c r="AR102">
        <v>5</v>
      </c>
      <c r="AS102">
        <v>4</v>
      </c>
      <c r="AT102">
        <v>14</v>
      </c>
      <c r="AU102" t="s">
        <v>89</v>
      </c>
      <c r="AV102">
        <v>7</v>
      </c>
      <c r="AW102">
        <v>5</v>
      </c>
    </row>
    <row r="103" spans="16:49" x14ac:dyDescent="0.25">
      <c r="P103">
        <v>102</v>
      </c>
      <c r="Q103" t="s">
        <v>68</v>
      </c>
      <c r="R103" t="s">
        <v>97</v>
      </c>
      <c r="S103">
        <v>16</v>
      </c>
      <c r="T103" t="s">
        <v>70</v>
      </c>
      <c r="U103" t="s">
        <v>71</v>
      </c>
      <c r="V103" t="s">
        <v>83</v>
      </c>
      <c r="W103" t="s">
        <v>73</v>
      </c>
      <c r="X103" t="s">
        <v>73</v>
      </c>
      <c r="Y103" t="s">
        <v>91</v>
      </c>
      <c r="Z103" t="s">
        <v>75</v>
      </c>
      <c r="AA103" t="s">
        <v>85</v>
      </c>
      <c r="AB103" t="s">
        <v>86</v>
      </c>
      <c r="AC103" t="s">
        <v>87</v>
      </c>
      <c r="AD103" t="s">
        <v>93</v>
      </c>
      <c r="AE103">
        <v>0</v>
      </c>
      <c r="AF103" t="s">
        <v>81</v>
      </c>
      <c r="AG103" t="s">
        <v>80</v>
      </c>
      <c r="AH103" t="s">
        <v>81</v>
      </c>
      <c r="AI103" t="s">
        <v>80</v>
      </c>
      <c r="AJ103" t="s">
        <v>80</v>
      </c>
      <c r="AK103" t="s">
        <v>80</v>
      </c>
      <c r="AL103" t="s">
        <v>80</v>
      </c>
      <c r="AM103" t="s">
        <v>80</v>
      </c>
      <c r="AN103">
        <v>4</v>
      </c>
      <c r="AO103">
        <v>4</v>
      </c>
      <c r="AP103">
        <v>3</v>
      </c>
      <c r="AQ103">
        <v>1</v>
      </c>
      <c r="AR103">
        <v>1</v>
      </c>
      <c r="AS103">
        <v>4</v>
      </c>
      <c r="AT103">
        <v>0</v>
      </c>
      <c r="AU103" t="s">
        <v>100</v>
      </c>
      <c r="AV103">
        <v>17</v>
      </c>
      <c r="AW103">
        <v>17</v>
      </c>
    </row>
    <row r="104" spans="16:49" x14ac:dyDescent="0.25">
      <c r="P104">
        <v>103</v>
      </c>
      <c r="Q104" t="s">
        <v>68</v>
      </c>
      <c r="R104" t="s">
        <v>97</v>
      </c>
      <c r="S104">
        <v>15</v>
      </c>
      <c r="T104" t="s">
        <v>70</v>
      </c>
      <c r="U104" t="s">
        <v>71</v>
      </c>
      <c r="V104" t="s">
        <v>83</v>
      </c>
      <c r="W104" t="s">
        <v>73</v>
      </c>
      <c r="X104" t="s">
        <v>73</v>
      </c>
      <c r="Y104" t="s">
        <v>91</v>
      </c>
      <c r="Z104" t="s">
        <v>85</v>
      </c>
      <c r="AA104" t="s">
        <v>76</v>
      </c>
      <c r="AB104" t="s">
        <v>77</v>
      </c>
      <c r="AC104" t="s">
        <v>87</v>
      </c>
      <c r="AD104" t="s">
        <v>104</v>
      </c>
      <c r="AE104">
        <v>0</v>
      </c>
      <c r="AF104" t="s">
        <v>81</v>
      </c>
      <c r="AG104" t="s">
        <v>80</v>
      </c>
      <c r="AH104" t="s">
        <v>81</v>
      </c>
      <c r="AI104" t="s">
        <v>80</v>
      </c>
      <c r="AJ104" t="s">
        <v>81</v>
      </c>
      <c r="AK104" t="s">
        <v>80</v>
      </c>
      <c r="AL104" t="s">
        <v>80</v>
      </c>
      <c r="AM104" t="s">
        <v>81</v>
      </c>
      <c r="AN104">
        <v>5</v>
      </c>
      <c r="AO104">
        <v>3</v>
      </c>
      <c r="AP104">
        <v>3</v>
      </c>
      <c r="AQ104">
        <v>1</v>
      </c>
      <c r="AR104">
        <v>1</v>
      </c>
      <c r="AS104">
        <v>5</v>
      </c>
      <c r="AT104">
        <v>4</v>
      </c>
      <c r="AU104" t="s">
        <v>102</v>
      </c>
      <c r="AV104">
        <v>13</v>
      </c>
      <c r="AW104">
        <v>14</v>
      </c>
    </row>
    <row r="105" spans="16:49" x14ac:dyDescent="0.25">
      <c r="P105">
        <v>104</v>
      </c>
      <c r="Q105" t="s">
        <v>68</v>
      </c>
      <c r="R105" t="s">
        <v>69</v>
      </c>
      <c r="S105">
        <v>15</v>
      </c>
      <c r="T105" t="s">
        <v>70</v>
      </c>
      <c r="U105" t="s">
        <v>71</v>
      </c>
      <c r="V105" t="s">
        <v>83</v>
      </c>
      <c r="W105" t="s">
        <v>95</v>
      </c>
      <c r="X105" t="s">
        <v>90</v>
      </c>
      <c r="Y105" t="s">
        <v>91</v>
      </c>
      <c r="Z105" t="s">
        <v>85</v>
      </c>
      <c r="AA105" t="s">
        <v>92</v>
      </c>
      <c r="AB105" t="s">
        <v>77</v>
      </c>
      <c r="AC105" t="s">
        <v>78</v>
      </c>
      <c r="AD105" t="s">
        <v>79</v>
      </c>
      <c r="AE105">
        <v>0</v>
      </c>
      <c r="AF105" t="s">
        <v>80</v>
      </c>
      <c r="AG105" t="s">
        <v>80</v>
      </c>
      <c r="AH105" t="s">
        <v>80</v>
      </c>
      <c r="AI105" t="s">
        <v>81</v>
      </c>
      <c r="AJ105" t="s">
        <v>80</v>
      </c>
      <c r="AK105" t="s">
        <v>80</v>
      </c>
      <c r="AL105" t="s">
        <v>80</v>
      </c>
      <c r="AM105" t="s">
        <v>81</v>
      </c>
      <c r="AN105">
        <v>4</v>
      </c>
      <c r="AO105">
        <v>3</v>
      </c>
      <c r="AP105">
        <v>5</v>
      </c>
      <c r="AQ105">
        <v>1</v>
      </c>
      <c r="AR105">
        <v>1</v>
      </c>
      <c r="AS105">
        <v>2</v>
      </c>
      <c r="AT105">
        <v>26</v>
      </c>
      <c r="AU105" t="s">
        <v>89</v>
      </c>
      <c r="AV105">
        <v>6</v>
      </c>
      <c r="AW105">
        <v>6</v>
      </c>
    </row>
    <row r="106" spans="16:49" x14ac:dyDescent="0.25">
      <c r="P106">
        <v>105</v>
      </c>
      <c r="Q106" t="s">
        <v>68</v>
      </c>
      <c r="R106" t="s">
        <v>97</v>
      </c>
      <c r="S106">
        <v>15</v>
      </c>
      <c r="T106" t="s">
        <v>70</v>
      </c>
      <c r="U106" t="s">
        <v>71</v>
      </c>
      <c r="V106" t="s">
        <v>72</v>
      </c>
      <c r="W106" t="s">
        <v>95</v>
      </c>
      <c r="X106" t="s">
        <v>73</v>
      </c>
      <c r="Y106" t="s">
        <v>91</v>
      </c>
      <c r="Z106" t="s">
        <v>85</v>
      </c>
      <c r="AA106" t="s">
        <v>76</v>
      </c>
      <c r="AB106" t="s">
        <v>77</v>
      </c>
      <c r="AC106" t="s">
        <v>87</v>
      </c>
      <c r="AD106" t="s">
        <v>79</v>
      </c>
      <c r="AE106">
        <v>0</v>
      </c>
      <c r="AF106" t="s">
        <v>81</v>
      </c>
      <c r="AG106" t="s">
        <v>80</v>
      </c>
      <c r="AH106" t="s">
        <v>80</v>
      </c>
      <c r="AI106" t="s">
        <v>80</v>
      </c>
      <c r="AJ106" t="s">
        <v>80</v>
      </c>
      <c r="AK106" t="s">
        <v>80</v>
      </c>
      <c r="AL106" t="s">
        <v>80</v>
      </c>
      <c r="AM106" t="s">
        <v>81</v>
      </c>
      <c r="AN106">
        <v>5</v>
      </c>
      <c r="AO106">
        <v>4</v>
      </c>
      <c r="AP106">
        <v>4</v>
      </c>
      <c r="AQ106">
        <v>1</v>
      </c>
      <c r="AR106">
        <v>1</v>
      </c>
      <c r="AS106">
        <v>1</v>
      </c>
      <c r="AT106">
        <v>0</v>
      </c>
      <c r="AU106" t="s">
        <v>100</v>
      </c>
      <c r="AV106">
        <v>18</v>
      </c>
      <c r="AW106">
        <v>18</v>
      </c>
    </row>
    <row r="107" spans="16:49" x14ac:dyDescent="0.25">
      <c r="P107">
        <v>106</v>
      </c>
      <c r="Q107" t="s">
        <v>68</v>
      </c>
      <c r="R107" t="s">
        <v>69</v>
      </c>
      <c r="S107">
        <v>15</v>
      </c>
      <c r="T107" t="s">
        <v>70</v>
      </c>
      <c r="U107" t="s">
        <v>71</v>
      </c>
      <c r="V107" t="s">
        <v>72</v>
      </c>
      <c r="W107" t="s">
        <v>95</v>
      </c>
      <c r="X107" t="s">
        <v>95</v>
      </c>
      <c r="Y107" t="s">
        <v>85</v>
      </c>
      <c r="Z107" t="s">
        <v>63</v>
      </c>
      <c r="AA107" t="s">
        <v>98</v>
      </c>
      <c r="AB107" t="s">
        <v>86</v>
      </c>
      <c r="AC107" t="s">
        <v>87</v>
      </c>
      <c r="AD107" t="s">
        <v>112</v>
      </c>
      <c r="AE107">
        <v>0</v>
      </c>
      <c r="AF107" t="s">
        <v>80</v>
      </c>
      <c r="AG107" t="s">
        <v>81</v>
      </c>
      <c r="AH107" t="s">
        <v>81</v>
      </c>
      <c r="AI107" t="s">
        <v>81</v>
      </c>
      <c r="AJ107" t="s">
        <v>80</v>
      </c>
      <c r="AK107" t="s">
        <v>80</v>
      </c>
      <c r="AL107" t="s">
        <v>81</v>
      </c>
      <c r="AM107" t="s">
        <v>81</v>
      </c>
      <c r="AN107">
        <v>4</v>
      </c>
      <c r="AO107">
        <v>3</v>
      </c>
      <c r="AP107">
        <v>3</v>
      </c>
      <c r="AQ107">
        <v>1</v>
      </c>
      <c r="AR107">
        <v>1</v>
      </c>
      <c r="AS107">
        <v>4</v>
      </c>
      <c r="AT107">
        <v>10</v>
      </c>
      <c r="AU107" t="s">
        <v>102</v>
      </c>
      <c r="AV107">
        <v>11</v>
      </c>
      <c r="AW107">
        <v>11</v>
      </c>
    </row>
    <row r="108" spans="16:49" x14ac:dyDescent="0.25">
      <c r="P108">
        <v>107</v>
      </c>
      <c r="Q108" t="s">
        <v>68</v>
      </c>
      <c r="R108" t="s">
        <v>69</v>
      </c>
      <c r="S108">
        <v>15</v>
      </c>
      <c r="T108" t="s">
        <v>70</v>
      </c>
      <c r="U108" t="s">
        <v>71</v>
      </c>
      <c r="V108" t="s">
        <v>83</v>
      </c>
      <c r="W108" t="s">
        <v>90</v>
      </c>
      <c r="X108" t="s">
        <v>90</v>
      </c>
      <c r="Y108" t="s">
        <v>85</v>
      </c>
      <c r="Z108" t="s">
        <v>85</v>
      </c>
      <c r="AA108" t="s">
        <v>76</v>
      </c>
      <c r="AB108" t="s">
        <v>77</v>
      </c>
      <c r="AC108" t="s">
        <v>87</v>
      </c>
      <c r="AD108" t="s">
        <v>112</v>
      </c>
      <c r="AE108">
        <v>0</v>
      </c>
      <c r="AF108" t="s">
        <v>80</v>
      </c>
      <c r="AG108" t="s">
        <v>80</v>
      </c>
      <c r="AH108" t="s">
        <v>80</v>
      </c>
      <c r="AI108" t="s">
        <v>81</v>
      </c>
      <c r="AJ108" t="s">
        <v>80</v>
      </c>
      <c r="AK108" t="s">
        <v>80</v>
      </c>
      <c r="AL108" t="s">
        <v>80</v>
      </c>
      <c r="AM108" t="s">
        <v>81</v>
      </c>
      <c r="AN108">
        <v>5</v>
      </c>
      <c r="AO108">
        <v>1</v>
      </c>
      <c r="AP108">
        <v>2</v>
      </c>
      <c r="AQ108">
        <v>1</v>
      </c>
      <c r="AR108">
        <v>1</v>
      </c>
      <c r="AS108">
        <v>3</v>
      </c>
      <c r="AT108">
        <v>8</v>
      </c>
      <c r="AU108" t="s">
        <v>89</v>
      </c>
      <c r="AV108">
        <v>8</v>
      </c>
      <c r="AW108">
        <v>8</v>
      </c>
    </row>
    <row r="109" spans="16:49" x14ac:dyDescent="0.25">
      <c r="P109">
        <v>108</v>
      </c>
      <c r="Q109" t="s">
        <v>68</v>
      </c>
      <c r="R109" t="s">
        <v>97</v>
      </c>
      <c r="S109">
        <v>16</v>
      </c>
      <c r="T109" t="s">
        <v>70</v>
      </c>
      <c r="U109" t="s">
        <v>71</v>
      </c>
      <c r="V109" t="s">
        <v>83</v>
      </c>
      <c r="W109" t="s">
        <v>95</v>
      </c>
      <c r="X109" t="s">
        <v>95</v>
      </c>
      <c r="Y109" t="s">
        <v>91</v>
      </c>
      <c r="Z109" t="s">
        <v>85</v>
      </c>
      <c r="AA109" t="s">
        <v>92</v>
      </c>
      <c r="AB109" t="s">
        <v>86</v>
      </c>
      <c r="AC109" t="s">
        <v>87</v>
      </c>
      <c r="AD109" t="s">
        <v>93</v>
      </c>
      <c r="AE109">
        <v>0</v>
      </c>
      <c r="AF109" t="s">
        <v>81</v>
      </c>
      <c r="AG109" t="s">
        <v>80</v>
      </c>
      <c r="AH109" t="s">
        <v>81</v>
      </c>
      <c r="AI109" t="s">
        <v>80</v>
      </c>
      <c r="AJ109" t="s">
        <v>80</v>
      </c>
      <c r="AK109" t="s">
        <v>80</v>
      </c>
      <c r="AL109" t="s">
        <v>80</v>
      </c>
      <c r="AM109" t="s">
        <v>81</v>
      </c>
      <c r="AN109">
        <v>5</v>
      </c>
      <c r="AO109">
        <v>3</v>
      </c>
      <c r="AP109">
        <v>3</v>
      </c>
      <c r="AQ109">
        <v>1</v>
      </c>
      <c r="AR109">
        <v>1</v>
      </c>
      <c r="AS109">
        <v>5</v>
      </c>
      <c r="AT109">
        <v>2</v>
      </c>
      <c r="AU109" t="s">
        <v>100</v>
      </c>
      <c r="AV109">
        <v>18</v>
      </c>
      <c r="AW109">
        <v>18</v>
      </c>
    </row>
    <row r="110" spans="16:49" x14ac:dyDescent="0.25">
      <c r="P110">
        <v>109</v>
      </c>
      <c r="Q110" t="s">
        <v>68</v>
      </c>
      <c r="R110" t="s">
        <v>97</v>
      </c>
      <c r="S110">
        <v>15</v>
      </c>
      <c r="T110" t="s">
        <v>107</v>
      </c>
      <c r="U110" t="s">
        <v>71</v>
      </c>
      <c r="V110" t="s">
        <v>83</v>
      </c>
      <c r="W110" t="s">
        <v>73</v>
      </c>
      <c r="X110" t="s">
        <v>73</v>
      </c>
      <c r="Y110" t="s">
        <v>85</v>
      </c>
      <c r="Z110" t="s">
        <v>85</v>
      </c>
      <c r="AA110" t="s">
        <v>92</v>
      </c>
      <c r="AB110" t="s">
        <v>86</v>
      </c>
      <c r="AC110" t="s">
        <v>113</v>
      </c>
      <c r="AD110" t="s">
        <v>112</v>
      </c>
      <c r="AE110">
        <v>0</v>
      </c>
      <c r="AF110" t="s">
        <v>81</v>
      </c>
      <c r="AG110" t="s">
        <v>80</v>
      </c>
      <c r="AH110" t="s">
        <v>80</v>
      </c>
      <c r="AI110" t="s">
        <v>80</v>
      </c>
      <c r="AJ110" t="s">
        <v>80</v>
      </c>
      <c r="AK110" t="s">
        <v>80</v>
      </c>
      <c r="AL110" t="s">
        <v>80</v>
      </c>
      <c r="AM110" t="s">
        <v>80</v>
      </c>
      <c r="AN110">
        <v>1</v>
      </c>
      <c r="AO110">
        <v>3</v>
      </c>
      <c r="AP110">
        <v>5</v>
      </c>
      <c r="AQ110">
        <v>3</v>
      </c>
      <c r="AR110">
        <v>5</v>
      </c>
      <c r="AS110">
        <v>1</v>
      </c>
      <c r="AT110">
        <v>6</v>
      </c>
      <c r="AU110" t="s">
        <v>102</v>
      </c>
      <c r="AV110">
        <v>13</v>
      </c>
      <c r="AW110">
        <v>13</v>
      </c>
    </row>
    <row r="111" spans="16:49" x14ac:dyDescent="0.25">
      <c r="P111">
        <v>110</v>
      </c>
      <c r="Q111" t="s">
        <v>68</v>
      </c>
      <c r="R111" t="s">
        <v>69</v>
      </c>
      <c r="S111">
        <v>16</v>
      </c>
      <c r="T111" t="s">
        <v>70</v>
      </c>
      <c r="U111" t="s">
        <v>88</v>
      </c>
      <c r="V111" t="s">
        <v>83</v>
      </c>
      <c r="W111" t="s">
        <v>73</v>
      </c>
      <c r="X111" t="s">
        <v>73</v>
      </c>
      <c r="Y111" t="s">
        <v>63</v>
      </c>
      <c r="Z111" t="s">
        <v>63</v>
      </c>
      <c r="AA111" t="s">
        <v>85</v>
      </c>
      <c r="AB111" t="s">
        <v>77</v>
      </c>
      <c r="AC111" t="s">
        <v>87</v>
      </c>
      <c r="AD111" t="s">
        <v>93</v>
      </c>
      <c r="AE111">
        <v>0</v>
      </c>
      <c r="AF111" t="s">
        <v>81</v>
      </c>
      <c r="AG111" t="s">
        <v>80</v>
      </c>
      <c r="AH111" t="s">
        <v>80</v>
      </c>
      <c r="AI111" t="s">
        <v>80</v>
      </c>
      <c r="AJ111" t="s">
        <v>80</v>
      </c>
      <c r="AK111" t="s">
        <v>80</v>
      </c>
      <c r="AL111" t="s">
        <v>80</v>
      </c>
      <c r="AM111" t="s">
        <v>80</v>
      </c>
      <c r="AN111">
        <v>5</v>
      </c>
      <c r="AO111">
        <v>4</v>
      </c>
      <c r="AP111">
        <v>5</v>
      </c>
      <c r="AQ111">
        <v>1</v>
      </c>
      <c r="AR111">
        <v>1</v>
      </c>
      <c r="AS111">
        <v>4</v>
      </c>
      <c r="AT111">
        <v>4</v>
      </c>
      <c r="AU111" t="s">
        <v>101</v>
      </c>
      <c r="AV111">
        <v>15</v>
      </c>
      <c r="AW111">
        <v>16</v>
      </c>
    </row>
    <row r="112" spans="16:49" x14ac:dyDescent="0.25">
      <c r="P112">
        <v>111</v>
      </c>
      <c r="Q112" t="s">
        <v>68</v>
      </c>
      <c r="R112" t="s">
        <v>97</v>
      </c>
      <c r="S112">
        <v>15</v>
      </c>
      <c r="T112" t="s">
        <v>70</v>
      </c>
      <c r="U112" t="s">
        <v>88</v>
      </c>
      <c r="V112" t="s">
        <v>72</v>
      </c>
      <c r="W112" t="s">
        <v>73</v>
      </c>
      <c r="X112" t="s">
        <v>73</v>
      </c>
      <c r="Y112" t="s">
        <v>75</v>
      </c>
      <c r="Z112" t="s">
        <v>75</v>
      </c>
      <c r="AA112" t="s">
        <v>76</v>
      </c>
      <c r="AB112" t="s">
        <v>77</v>
      </c>
      <c r="AC112" t="s">
        <v>87</v>
      </c>
      <c r="AD112" t="s">
        <v>104</v>
      </c>
      <c r="AE112">
        <v>0</v>
      </c>
      <c r="AF112" t="s">
        <v>81</v>
      </c>
      <c r="AG112" t="s">
        <v>81</v>
      </c>
      <c r="AH112" t="s">
        <v>81</v>
      </c>
      <c r="AI112" t="s">
        <v>80</v>
      </c>
      <c r="AJ112" t="s">
        <v>80</v>
      </c>
      <c r="AK112" t="s">
        <v>80</v>
      </c>
      <c r="AL112" t="s">
        <v>80</v>
      </c>
      <c r="AM112" t="s">
        <v>81</v>
      </c>
      <c r="AN112">
        <v>5</v>
      </c>
      <c r="AO112">
        <v>5</v>
      </c>
      <c r="AP112">
        <v>3</v>
      </c>
      <c r="AQ112">
        <v>1</v>
      </c>
      <c r="AR112">
        <v>1</v>
      </c>
      <c r="AS112">
        <v>4</v>
      </c>
      <c r="AT112">
        <v>6</v>
      </c>
      <c r="AU112" t="s">
        <v>115</v>
      </c>
      <c r="AV112">
        <v>19</v>
      </c>
      <c r="AW112">
        <v>19</v>
      </c>
    </row>
    <row r="113" spans="16:49" x14ac:dyDescent="0.25">
      <c r="P113">
        <v>112</v>
      </c>
      <c r="Q113" t="s">
        <v>68</v>
      </c>
      <c r="R113" t="s">
        <v>69</v>
      </c>
      <c r="S113">
        <v>16</v>
      </c>
      <c r="T113" t="s">
        <v>107</v>
      </c>
      <c r="U113" t="s">
        <v>71</v>
      </c>
      <c r="V113" t="s">
        <v>83</v>
      </c>
      <c r="W113" t="s">
        <v>95</v>
      </c>
      <c r="X113" t="s">
        <v>95</v>
      </c>
      <c r="Y113" t="s">
        <v>91</v>
      </c>
      <c r="Z113" t="s">
        <v>85</v>
      </c>
      <c r="AA113" t="s">
        <v>98</v>
      </c>
      <c r="AB113" t="s">
        <v>86</v>
      </c>
      <c r="AC113" t="s">
        <v>87</v>
      </c>
      <c r="AD113" t="s">
        <v>93</v>
      </c>
      <c r="AE113">
        <v>1</v>
      </c>
      <c r="AF113" t="s">
        <v>80</v>
      </c>
      <c r="AG113" t="s">
        <v>80</v>
      </c>
      <c r="AH113" t="s">
        <v>81</v>
      </c>
      <c r="AI113" t="s">
        <v>80</v>
      </c>
      <c r="AJ113" t="s">
        <v>80</v>
      </c>
      <c r="AK113" t="s">
        <v>80</v>
      </c>
      <c r="AL113" t="s">
        <v>80</v>
      </c>
      <c r="AM113" t="s">
        <v>81</v>
      </c>
      <c r="AN113">
        <v>4</v>
      </c>
      <c r="AO113">
        <v>1</v>
      </c>
      <c r="AP113">
        <v>2</v>
      </c>
      <c r="AQ113">
        <v>1</v>
      </c>
      <c r="AR113">
        <v>1</v>
      </c>
      <c r="AS113">
        <v>2</v>
      </c>
      <c r="AT113">
        <v>0</v>
      </c>
      <c r="AU113" t="s">
        <v>89</v>
      </c>
      <c r="AV113">
        <v>10</v>
      </c>
      <c r="AW113">
        <v>10</v>
      </c>
    </row>
    <row r="114" spans="16:49" x14ac:dyDescent="0.25">
      <c r="P114">
        <v>113</v>
      </c>
      <c r="Q114" t="s">
        <v>68</v>
      </c>
      <c r="R114" t="s">
        <v>69</v>
      </c>
      <c r="S114">
        <v>16</v>
      </c>
      <c r="T114" t="s">
        <v>70</v>
      </c>
      <c r="U114" t="s">
        <v>71</v>
      </c>
      <c r="V114" t="s">
        <v>83</v>
      </c>
      <c r="W114" t="s">
        <v>90</v>
      </c>
      <c r="X114" t="s">
        <v>90</v>
      </c>
      <c r="Y114" t="s">
        <v>74</v>
      </c>
      <c r="Z114" t="s">
        <v>85</v>
      </c>
      <c r="AA114" t="s">
        <v>92</v>
      </c>
      <c r="AB114" t="s">
        <v>77</v>
      </c>
      <c r="AC114" t="s">
        <v>87</v>
      </c>
      <c r="AD114" t="s">
        <v>79</v>
      </c>
      <c r="AE114">
        <v>1</v>
      </c>
      <c r="AF114" t="s">
        <v>80</v>
      </c>
      <c r="AG114" t="s">
        <v>81</v>
      </c>
      <c r="AH114" t="s">
        <v>81</v>
      </c>
      <c r="AI114" t="s">
        <v>80</v>
      </c>
      <c r="AJ114" t="s">
        <v>80</v>
      </c>
      <c r="AK114" t="s">
        <v>80</v>
      </c>
      <c r="AL114" t="s">
        <v>80</v>
      </c>
      <c r="AM114" t="s">
        <v>81</v>
      </c>
      <c r="AN114">
        <v>3</v>
      </c>
      <c r="AO114">
        <v>1</v>
      </c>
      <c r="AP114">
        <v>2</v>
      </c>
      <c r="AQ114">
        <v>1</v>
      </c>
      <c r="AR114">
        <v>1</v>
      </c>
      <c r="AS114">
        <v>5</v>
      </c>
      <c r="AT114">
        <v>6</v>
      </c>
      <c r="AU114" t="s">
        <v>102</v>
      </c>
      <c r="AV114">
        <v>13</v>
      </c>
      <c r="AW114">
        <v>13</v>
      </c>
    </row>
    <row r="115" spans="16:49" x14ac:dyDescent="0.25">
      <c r="P115">
        <v>114</v>
      </c>
      <c r="Q115" t="s">
        <v>68</v>
      </c>
      <c r="R115" t="s">
        <v>97</v>
      </c>
      <c r="S115">
        <v>15</v>
      </c>
      <c r="T115" t="s">
        <v>70</v>
      </c>
      <c r="U115" t="s">
        <v>88</v>
      </c>
      <c r="V115" t="s">
        <v>83</v>
      </c>
      <c r="W115" t="s">
        <v>73</v>
      </c>
      <c r="X115" t="s">
        <v>90</v>
      </c>
      <c r="Y115" t="s">
        <v>75</v>
      </c>
      <c r="Z115" t="s">
        <v>85</v>
      </c>
      <c r="AA115" t="s">
        <v>76</v>
      </c>
      <c r="AB115" t="s">
        <v>77</v>
      </c>
      <c r="AC115" t="s">
        <v>87</v>
      </c>
      <c r="AD115" t="s">
        <v>104</v>
      </c>
      <c r="AE115">
        <v>0</v>
      </c>
      <c r="AF115" t="s">
        <v>81</v>
      </c>
      <c r="AG115" t="s">
        <v>81</v>
      </c>
      <c r="AH115" t="s">
        <v>81</v>
      </c>
      <c r="AI115" t="s">
        <v>81</v>
      </c>
      <c r="AJ115" t="s">
        <v>80</v>
      </c>
      <c r="AK115" t="s">
        <v>80</v>
      </c>
      <c r="AL115" t="s">
        <v>80</v>
      </c>
      <c r="AM115" t="s">
        <v>81</v>
      </c>
      <c r="AN115">
        <v>3</v>
      </c>
      <c r="AO115">
        <v>5</v>
      </c>
      <c r="AP115">
        <v>2</v>
      </c>
      <c r="AQ115">
        <v>1</v>
      </c>
      <c r="AR115">
        <v>1</v>
      </c>
      <c r="AS115">
        <v>3</v>
      </c>
      <c r="AT115">
        <v>10</v>
      </c>
      <c r="AU115" t="s">
        <v>115</v>
      </c>
      <c r="AV115">
        <v>19</v>
      </c>
      <c r="AW115">
        <v>19</v>
      </c>
    </row>
    <row r="116" spans="16:49" x14ac:dyDescent="0.25">
      <c r="P116">
        <v>115</v>
      </c>
      <c r="Q116" t="s">
        <v>68</v>
      </c>
      <c r="R116" t="s">
        <v>97</v>
      </c>
      <c r="S116">
        <v>15</v>
      </c>
      <c r="T116" t="s">
        <v>107</v>
      </c>
      <c r="U116" t="s">
        <v>71</v>
      </c>
      <c r="V116" t="s">
        <v>83</v>
      </c>
      <c r="W116" t="s">
        <v>90</v>
      </c>
      <c r="X116" t="s">
        <v>84</v>
      </c>
      <c r="Y116" t="s">
        <v>63</v>
      </c>
      <c r="Z116" t="s">
        <v>91</v>
      </c>
      <c r="AA116" t="s">
        <v>98</v>
      </c>
      <c r="AB116" t="s">
        <v>77</v>
      </c>
      <c r="AC116" t="s">
        <v>87</v>
      </c>
      <c r="AD116" t="s">
        <v>79</v>
      </c>
      <c r="AE116">
        <v>0</v>
      </c>
      <c r="AF116" t="s">
        <v>81</v>
      </c>
      <c r="AG116" t="s">
        <v>81</v>
      </c>
      <c r="AH116" t="s">
        <v>81</v>
      </c>
      <c r="AI116" t="s">
        <v>80</v>
      </c>
      <c r="AJ116" t="s">
        <v>80</v>
      </c>
      <c r="AK116" t="s">
        <v>80</v>
      </c>
      <c r="AL116" t="s">
        <v>80</v>
      </c>
      <c r="AM116" t="s">
        <v>80</v>
      </c>
      <c r="AN116">
        <v>5</v>
      </c>
      <c r="AO116">
        <v>4</v>
      </c>
      <c r="AP116">
        <v>2</v>
      </c>
      <c r="AQ116">
        <v>1</v>
      </c>
      <c r="AR116">
        <v>1</v>
      </c>
      <c r="AS116">
        <v>5</v>
      </c>
      <c r="AT116">
        <v>8</v>
      </c>
      <c r="AU116" t="s">
        <v>109</v>
      </c>
      <c r="AV116">
        <v>9</v>
      </c>
      <c r="AW116">
        <v>9</v>
      </c>
    </row>
    <row r="117" spans="16:49" x14ac:dyDescent="0.25">
      <c r="P117">
        <v>116</v>
      </c>
      <c r="Q117" t="s">
        <v>68</v>
      </c>
      <c r="R117" t="s">
        <v>97</v>
      </c>
      <c r="S117">
        <v>16</v>
      </c>
      <c r="T117" t="s">
        <v>70</v>
      </c>
      <c r="U117" t="s">
        <v>71</v>
      </c>
      <c r="V117" t="s">
        <v>83</v>
      </c>
      <c r="W117" t="s">
        <v>73</v>
      </c>
      <c r="X117" t="s">
        <v>73</v>
      </c>
      <c r="Y117" t="s">
        <v>75</v>
      </c>
      <c r="Z117" t="s">
        <v>75</v>
      </c>
      <c r="AA117" t="s">
        <v>76</v>
      </c>
      <c r="AB117" t="s">
        <v>86</v>
      </c>
      <c r="AC117" t="s">
        <v>87</v>
      </c>
      <c r="AD117" t="s">
        <v>79</v>
      </c>
      <c r="AE117">
        <v>0</v>
      </c>
      <c r="AF117" t="s">
        <v>81</v>
      </c>
      <c r="AG117" t="s">
        <v>80</v>
      </c>
      <c r="AH117" t="s">
        <v>81</v>
      </c>
      <c r="AI117" t="s">
        <v>80</v>
      </c>
      <c r="AJ117" t="s">
        <v>80</v>
      </c>
      <c r="AK117" t="s">
        <v>80</v>
      </c>
      <c r="AL117" t="s">
        <v>80</v>
      </c>
      <c r="AM117" t="s">
        <v>81</v>
      </c>
      <c r="AN117">
        <v>5</v>
      </c>
      <c r="AO117">
        <v>4</v>
      </c>
      <c r="AP117">
        <v>4</v>
      </c>
      <c r="AQ117">
        <v>1</v>
      </c>
      <c r="AR117">
        <v>2</v>
      </c>
      <c r="AS117">
        <v>5</v>
      </c>
      <c r="AT117">
        <v>2</v>
      </c>
      <c r="AU117" t="s">
        <v>94</v>
      </c>
      <c r="AV117">
        <v>15</v>
      </c>
      <c r="AW117">
        <v>16</v>
      </c>
    </row>
    <row r="118" spans="16:49" x14ac:dyDescent="0.25">
      <c r="P118">
        <v>117</v>
      </c>
      <c r="Q118" t="s">
        <v>68</v>
      </c>
      <c r="R118" t="s">
        <v>97</v>
      </c>
      <c r="S118">
        <v>15</v>
      </c>
      <c r="T118" t="s">
        <v>70</v>
      </c>
      <c r="U118" t="s">
        <v>71</v>
      </c>
      <c r="V118" t="s">
        <v>83</v>
      </c>
      <c r="W118" t="s">
        <v>73</v>
      </c>
      <c r="X118" t="s">
        <v>73</v>
      </c>
      <c r="Y118" t="s">
        <v>85</v>
      </c>
      <c r="Z118" t="s">
        <v>75</v>
      </c>
      <c r="AA118" t="s">
        <v>98</v>
      </c>
      <c r="AB118" t="s">
        <v>86</v>
      </c>
      <c r="AC118" t="s">
        <v>78</v>
      </c>
      <c r="AD118" t="s">
        <v>79</v>
      </c>
      <c r="AE118">
        <v>0</v>
      </c>
      <c r="AF118" t="s">
        <v>81</v>
      </c>
      <c r="AG118" t="s">
        <v>80</v>
      </c>
      <c r="AH118" t="s">
        <v>81</v>
      </c>
      <c r="AI118" t="s">
        <v>80</v>
      </c>
      <c r="AJ118" t="s">
        <v>80</v>
      </c>
      <c r="AK118" t="s">
        <v>80</v>
      </c>
      <c r="AL118" t="s">
        <v>81</v>
      </c>
      <c r="AM118" t="s">
        <v>81</v>
      </c>
      <c r="AN118">
        <v>4</v>
      </c>
      <c r="AO118">
        <v>4</v>
      </c>
      <c r="AP118">
        <v>3</v>
      </c>
      <c r="AQ118">
        <v>1</v>
      </c>
      <c r="AR118">
        <v>1</v>
      </c>
      <c r="AS118">
        <v>2</v>
      </c>
      <c r="AT118">
        <v>2</v>
      </c>
      <c r="AU118" t="s">
        <v>108</v>
      </c>
      <c r="AV118">
        <v>13</v>
      </c>
      <c r="AW118">
        <v>14</v>
      </c>
    </row>
    <row r="119" spans="16:49" x14ac:dyDescent="0.25">
      <c r="P119">
        <v>118</v>
      </c>
      <c r="Q119" t="s">
        <v>68</v>
      </c>
      <c r="R119" t="s">
        <v>97</v>
      </c>
      <c r="S119">
        <v>16</v>
      </c>
      <c r="T119" t="s">
        <v>70</v>
      </c>
      <c r="U119" t="s">
        <v>71</v>
      </c>
      <c r="V119" t="s">
        <v>83</v>
      </c>
      <c r="W119" t="s">
        <v>95</v>
      </c>
      <c r="X119" t="s">
        <v>95</v>
      </c>
      <c r="Y119" t="s">
        <v>85</v>
      </c>
      <c r="Z119" t="s">
        <v>91</v>
      </c>
      <c r="AA119" t="s">
        <v>92</v>
      </c>
      <c r="AB119" t="s">
        <v>86</v>
      </c>
      <c r="AC119" t="s">
        <v>78</v>
      </c>
      <c r="AD119" t="s">
        <v>104</v>
      </c>
      <c r="AE119">
        <v>0</v>
      </c>
      <c r="AF119" t="s">
        <v>81</v>
      </c>
      <c r="AG119" t="s">
        <v>81</v>
      </c>
      <c r="AH119" t="s">
        <v>81</v>
      </c>
      <c r="AI119" t="s">
        <v>80</v>
      </c>
      <c r="AJ119" t="s">
        <v>80</v>
      </c>
      <c r="AK119" t="s">
        <v>80</v>
      </c>
      <c r="AL119" t="s">
        <v>80</v>
      </c>
      <c r="AM119" t="s">
        <v>81</v>
      </c>
      <c r="AN119">
        <v>5</v>
      </c>
      <c r="AO119">
        <v>4</v>
      </c>
      <c r="AP119">
        <v>2</v>
      </c>
      <c r="AQ119">
        <v>1</v>
      </c>
      <c r="AR119">
        <v>1</v>
      </c>
      <c r="AS119">
        <v>5</v>
      </c>
      <c r="AT119">
        <v>0</v>
      </c>
      <c r="AU119" t="s">
        <v>105</v>
      </c>
      <c r="AV119">
        <v>14</v>
      </c>
      <c r="AW119">
        <v>13</v>
      </c>
    </row>
    <row r="120" spans="16:49" x14ac:dyDescent="0.25">
      <c r="P120">
        <v>119</v>
      </c>
      <c r="Q120" t="s">
        <v>68</v>
      </c>
      <c r="R120" t="s">
        <v>97</v>
      </c>
      <c r="S120">
        <v>17</v>
      </c>
      <c r="T120" t="s">
        <v>107</v>
      </c>
      <c r="U120" t="s">
        <v>71</v>
      </c>
      <c r="V120" t="s">
        <v>83</v>
      </c>
      <c r="W120" t="s">
        <v>84</v>
      </c>
      <c r="X120" t="s">
        <v>95</v>
      </c>
      <c r="Y120" t="s">
        <v>85</v>
      </c>
      <c r="Z120" t="s">
        <v>85</v>
      </c>
      <c r="AA120" t="s">
        <v>76</v>
      </c>
      <c r="AB120" t="s">
        <v>86</v>
      </c>
      <c r="AC120" t="s">
        <v>103</v>
      </c>
      <c r="AD120" t="s">
        <v>79</v>
      </c>
      <c r="AE120">
        <v>1</v>
      </c>
      <c r="AF120" t="s">
        <v>81</v>
      </c>
      <c r="AG120" t="s">
        <v>80</v>
      </c>
      <c r="AH120" t="s">
        <v>81</v>
      </c>
      <c r="AI120" t="s">
        <v>80</v>
      </c>
      <c r="AJ120" t="s">
        <v>80</v>
      </c>
      <c r="AK120" t="s">
        <v>80</v>
      </c>
      <c r="AL120" t="s">
        <v>80</v>
      </c>
      <c r="AM120" t="s">
        <v>81</v>
      </c>
      <c r="AN120">
        <v>5</v>
      </c>
      <c r="AO120">
        <v>2</v>
      </c>
      <c r="AP120">
        <v>4</v>
      </c>
      <c r="AQ120">
        <v>1</v>
      </c>
      <c r="AR120">
        <v>4</v>
      </c>
      <c r="AS120">
        <v>5</v>
      </c>
      <c r="AT120">
        <v>20</v>
      </c>
      <c r="AU120" t="s">
        <v>109</v>
      </c>
      <c r="AV120">
        <v>7</v>
      </c>
      <c r="AW120">
        <v>8</v>
      </c>
    </row>
    <row r="121" spans="16:49" x14ac:dyDescent="0.25">
      <c r="P121">
        <v>120</v>
      </c>
      <c r="Q121" t="s">
        <v>68</v>
      </c>
      <c r="R121" t="s">
        <v>97</v>
      </c>
      <c r="S121">
        <v>15</v>
      </c>
      <c r="T121" t="s">
        <v>70</v>
      </c>
      <c r="U121" t="s">
        <v>71</v>
      </c>
      <c r="V121" t="s">
        <v>83</v>
      </c>
      <c r="W121" t="s">
        <v>95</v>
      </c>
      <c r="X121" t="s">
        <v>73</v>
      </c>
      <c r="Y121" t="s">
        <v>85</v>
      </c>
      <c r="Z121" t="s">
        <v>85</v>
      </c>
      <c r="AA121" t="s">
        <v>98</v>
      </c>
      <c r="AB121" t="s">
        <v>86</v>
      </c>
      <c r="AC121" t="s">
        <v>87</v>
      </c>
      <c r="AD121" t="s">
        <v>104</v>
      </c>
      <c r="AE121">
        <v>0</v>
      </c>
      <c r="AF121" t="s">
        <v>81</v>
      </c>
      <c r="AG121" t="s">
        <v>81</v>
      </c>
      <c r="AH121" t="s">
        <v>81</v>
      </c>
      <c r="AI121" t="s">
        <v>81</v>
      </c>
      <c r="AJ121" t="s">
        <v>80</v>
      </c>
      <c r="AK121" t="s">
        <v>80</v>
      </c>
      <c r="AL121" t="s">
        <v>80</v>
      </c>
      <c r="AM121" t="s">
        <v>81</v>
      </c>
      <c r="AN121">
        <v>3</v>
      </c>
      <c r="AO121">
        <v>4</v>
      </c>
      <c r="AP121">
        <v>3</v>
      </c>
      <c r="AQ121">
        <v>1</v>
      </c>
      <c r="AR121">
        <v>2</v>
      </c>
      <c r="AS121">
        <v>4</v>
      </c>
      <c r="AT121">
        <v>6</v>
      </c>
      <c r="AU121" t="s">
        <v>101</v>
      </c>
      <c r="AV121">
        <v>13</v>
      </c>
      <c r="AW121">
        <v>13</v>
      </c>
    </row>
    <row r="122" spans="16:49" x14ac:dyDescent="0.25">
      <c r="P122">
        <v>121</v>
      </c>
      <c r="Q122" t="s">
        <v>68</v>
      </c>
      <c r="R122" t="s">
        <v>69</v>
      </c>
      <c r="S122">
        <v>15</v>
      </c>
      <c r="T122" t="s">
        <v>70</v>
      </c>
      <c r="U122" t="s">
        <v>71</v>
      </c>
      <c r="V122" t="s">
        <v>83</v>
      </c>
      <c r="W122" t="s">
        <v>84</v>
      </c>
      <c r="X122" t="s">
        <v>90</v>
      </c>
      <c r="Y122" t="s">
        <v>74</v>
      </c>
      <c r="Z122" t="s">
        <v>91</v>
      </c>
      <c r="AA122" t="s">
        <v>76</v>
      </c>
      <c r="AB122" t="s">
        <v>77</v>
      </c>
      <c r="AC122" t="s">
        <v>87</v>
      </c>
      <c r="AD122" t="s">
        <v>79</v>
      </c>
      <c r="AE122">
        <v>0</v>
      </c>
      <c r="AF122" t="s">
        <v>81</v>
      </c>
      <c r="AG122" t="s">
        <v>81</v>
      </c>
      <c r="AH122" t="s">
        <v>81</v>
      </c>
      <c r="AI122" t="s">
        <v>81</v>
      </c>
      <c r="AJ122" t="s">
        <v>81</v>
      </c>
      <c r="AK122" t="s">
        <v>80</v>
      </c>
      <c r="AL122" t="s">
        <v>80</v>
      </c>
      <c r="AM122" t="s">
        <v>81</v>
      </c>
      <c r="AN122">
        <v>3</v>
      </c>
      <c r="AO122">
        <v>2</v>
      </c>
      <c r="AP122">
        <v>3</v>
      </c>
      <c r="AQ122">
        <v>1</v>
      </c>
      <c r="AR122">
        <v>2</v>
      </c>
      <c r="AS122">
        <v>1</v>
      </c>
      <c r="AT122">
        <v>2</v>
      </c>
      <c r="AU122" t="s">
        <v>100</v>
      </c>
      <c r="AV122">
        <v>15</v>
      </c>
      <c r="AW122">
        <v>15</v>
      </c>
    </row>
    <row r="123" spans="16:49" x14ac:dyDescent="0.25">
      <c r="P123">
        <v>122</v>
      </c>
      <c r="Q123" t="s">
        <v>68</v>
      </c>
      <c r="R123" t="s">
        <v>97</v>
      </c>
      <c r="S123">
        <v>15</v>
      </c>
      <c r="T123" t="s">
        <v>70</v>
      </c>
      <c r="U123" t="s">
        <v>71</v>
      </c>
      <c r="V123" t="s">
        <v>83</v>
      </c>
      <c r="W123" t="s">
        <v>90</v>
      </c>
      <c r="X123" t="s">
        <v>90</v>
      </c>
      <c r="Y123" t="s">
        <v>91</v>
      </c>
      <c r="Z123" t="s">
        <v>91</v>
      </c>
      <c r="AA123" t="s">
        <v>92</v>
      </c>
      <c r="AB123" t="s">
        <v>86</v>
      </c>
      <c r="AC123" t="s">
        <v>87</v>
      </c>
      <c r="AD123" t="s">
        <v>112</v>
      </c>
      <c r="AE123">
        <v>0</v>
      </c>
      <c r="AF123" t="s">
        <v>81</v>
      </c>
      <c r="AG123" t="s">
        <v>80</v>
      </c>
      <c r="AH123" t="s">
        <v>80</v>
      </c>
      <c r="AI123" t="s">
        <v>80</v>
      </c>
      <c r="AJ123" t="s">
        <v>80</v>
      </c>
      <c r="AK123" t="s">
        <v>80</v>
      </c>
      <c r="AL123" t="s">
        <v>80</v>
      </c>
      <c r="AM123" t="s">
        <v>81</v>
      </c>
      <c r="AN123">
        <v>5</v>
      </c>
      <c r="AO123">
        <v>5</v>
      </c>
      <c r="AP123">
        <v>4</v>
      </c>
      <c r="AQ123">
        <v>1</v>
      </c>
      <c r="AR123">
        <v>2</v>
      </c>
      <c r="AS123">
        <v>5</v>
      </c>
      <c r="AT123">
        <v>6</v>
      </c>
      <c r="AU123" t="s">
        <v>100</v>
      </c>
      <c r="AV123">
        <v>14</v>
      </c>
      <c r="AW123">
        <v>15</v>
      </c>
    </row>
    <row r="124" spans="16:49" x14ac:dyDescent="0.25">
      <c r="P124">
        <v>123</v>
      </c>
      <c r="Q124" t="s">
        <v>68</v>
      </c>
      <c r="R124" t="s">
        <v>69</v>
      </c>
      <c r="S124">
        <v>16</v>
      </c>
      <c r="T124" t="s">
        <v>70</v>
      </c>
      <c r="U124" t="s">
        <v>88</v>
      </c>
      <c r="V124" t="s">
        <v>83</v>
      </c>
      <c r="W124" t="s">
        <v>90</v>
      </c>
      <c r="X124" t="s">
        <v>73</v>
      </c>
      <c r="Y124" t="s">
        <v>85</v>
      </c>
      <c r="Z124" t="s">
        <v>63</v>
      </c>
      <c r="AA124" t="s">
        <v>76</v>
      </c>
      <c r="AB124" t="s">
        <v>86</v>
      </c>
      <c r="AC124" t="s">
        <v>78</v>
      </c>
      <c r="AD124" t="s">
        <v>79</v>
      </c>
      <c r="AE124">
        <v>0</v>
      </c>
      <c r="AF124" t="s">
        <v>81</v>
      </c>
      <c r="AG124" t="s">
        <v>80</v>
      </c>
      <c r="AH124" t="s">
        <v>80</v>
      </c>
      <c r="AI124" t="s">
        <v>80</v>
      </c>
      <c r="AJ124" t="s">
        <v>80</v>
      </c>
      <c r="AK124" t="s">
        <v>80</v>
      </c>
      <c r="AL124" t="s">
        <v>80</v>
      </c>
      <c r="AM124" t="s">
        <v>80</v>
      </c>
      <c r="AN124">
        <v>4</v>
      </c>
      <c r="AO124">
        <v>2</v>
      </c>
      <c r="AP124">
        <v>2</v>
      </c>
      <c r="AQ124">
        <v>1</v>
      </c>
      <c r="AR124">
        <v>2</v>
      </c>
      <c r="AS124">
        <v>5</v>
      </c>
      <c r="AT124">
        <v>2</v>
      </c>
      <c r="AU124" t="s">
        <v>105</v>
      </c>
      <c r="AV124">
        <v>13</v>
      </c>
      <c r="AW124">
        <v>13</v>
      </c>
    </row>
    <row r="125" spans="16:49" x14ac:dyDescent="0.25">
      <c r="P125">
        <v>124</v>
      </c>
      <c r="Q125" t="s">
        <v>68</v>
      </c>
      <c r="R125" t="s">
        <v>97</v>
      </c>
      <c r="S125">
        <v>16</v>
      </c>
      <c r="T125" t="s">
        <v>70</v>
      </c>
      <c r="U125" t="s">
        <v>71</v>
      </c>
      <c r="V125" t="s">
        <v>83</v>
      </c>
      <c r="W125" t="s">
        <v>73</v>
      </c>
      <c r="X125" t="s">
        <v>73</v>
      </c>
      <c r="Y125" t="s">
        <v>63</v>
      </c>
      <c r="Z125" t="s">
        <v>85</v>
      </c>
      <c r="AA125" t="s">
        <v>76</v>
      </c>
      <c r="AB125" t="s">
        <v>77</v>
      </c>
      <c r="AC125" t="s">
        <v>87</v>
      </c>
      <c r="AD125" t="s">
        <v>104</v>
      </c>
      <c r="AE125">
        <v>0</v>
      </c>
      <c r="AF125" t="s">
        <v>81</v>
      </c>
      <c r="AG125" t="s">
        <v>80</v>
      </c>
      <c r="AH125" t="s">
        <v>81</v>
      </c>
      <c r="AI125" t="s">
        <v>80</v>
      </c>
      <c r="AJ125" t="s">
        <v>80</v>
      </c>
      <c r="AK125" t="s">
        <v>80</v>
      </c>
      <c r="AL125" t="s">
        <v>80</v>
      </c>
      <c r="AM125" t="s">
        <v>81</v>
      </c>
      <c r="AN125">
        <v>3</v>
      </c>
      <c r="AO125">
        <v>4</v>
      </c>
      <c r="AP125">
        <v>4</v>
      </c>
      <c r="AQ125">
        <v>1</v>
      </c>
      <c r="AR125">
        <v>4</v>
      </c>
      <c r="AS125">
        <v>5</v>
      </c>
      <c r="AT125">
        <v>18</v>
      </c>
      <c r="AU125" t="s">
        <v>101</v>
      </c>
      <c r="AV125">
        <v>11</v>
      </c>
      <c r="AW125">
        <v>13</v>
      </c>
    </row>
    <row r="126" spans="16:49" x14ac:dyDescent="0.25">
      <c r="P126">
        <v>125</v>
      </c>
      <c r="Q126" t="s">
        <v>68</v>
      </c>
      <c r="R126" t="s">
        <v>69</v>
      </c>
      <c r="S126">
        <v>16</v>
      </c>
      <c r="T126" t="s">
        <v>70</v>
      </c>
      <c r="U126" t="s">
        <v>71</v>
      </c>
      <c r="V126" t="s">
        <v>83</v>
      </c>
      <c r="W126" t="s">
        <v>90</v>
      </c>
      <c r="X126" t="s">
        <v>90</v>
      </c>
      <c r="Y126" t="s">
        <v>85</v>
      </c>
      <c r="Z126" t="s">
        <v>85</v>
      </c>
      <c r="AA126" t="s">
        <v>92</v>
      </c>
      <c r="AB126" t="s">
        <v>77</v>
      </c>
      <c r="AC126" t="s">
        <v>87</v>
      </c>
      <c r="AD126" t="s">
        <v>79</v>
      </c>
      <c r="AE126">
        <v>0</v>
      </c>
      <c r="AF126" t="s">
        <v>81</v>
      </c>
      <c r="AG126" t="s">
        <v>81</v>
      </c>
      <c r="AH126" t="s">
        <v>80</v>
      </c>
      <c r="AI126" t="s">
        <v>81</v>
      </c>
      <c r="AJ126" t="s">
        <v>80</v>
      </c>
      <c r="AK126" t="s">
        <v>80</v>
      </c>
      <c r="AL126" t="s">
        <v>80</v>
      </c>
      <c r="AM126" t="s">
        <v>80</v>
      </c>
      <c r="AN126">
        <v>5</v>
      </c>
      <c r="AO126">
        <v>4</v>
      </c>
      <c r="AP126">
        <v>4</v>
      </c>
      <c r="AQ126">
        <v>1</v>
      </c>
      <c r="AR126">
        <v>1</v>
      </c>
      <c r="AS126">
        <v>5</v>
      </c>
      <c r="AT126">
        <v>0</v>
      </c>
      <c r="AU126" t="s">
        <v>106</v>
      </c>
      <c r="AV126">
        <v>7</v>
      </c>
      <c r="AW126">
        <v>8</v>
      </c>
    </row>
    <row r="127" spans="16:49" x14ac:dyDescent="0.25">
      <c r="P127">
        <v>126</v>
      </c>
      <c r="Q127" t="s">
        <v>68</v>
      </c>
      <c r="R127" t="s">
        <v>97</v>
      </c>
      <c r="S127">
        <v>15</v>
      </c>
      <c r="T127" t="s">
        <v>70</v>
      </c>
      <c r="U127" t="s">
        <v>71</v>
      </c>
      <c r="V127" t="s">
        <v>83</v>
      </c>
      <c r="W127" t="s">
        <v>95</v>
      </c>
      <c r="X127" t="s">
        <v>73</v>
      </c>
      <c r="Y127" t="s">
        <v>91</v>
      </c>
      <c r="Z127" t="s">
        <v>91</v>
      </c>
      <c r="AA127" t="s">
        <v>92</v>
      </c>
      <c r="AB127" t="s">
        <v>86</v>
      </c>
      <c r="AC127" t="s">
        <v>87</v>
      </c>
      <c r="AD127" t="s">
        <v>104</v>
      </c>
      <c r="AE127">
        <v>0</v>
      </c>
      <c r="AF127" t="s">
        <v>80</v>
      </c>
      <c r="AG127" t="s">
        <v>81</v>
      </c>
      <c r="AH127" t="s">
        <v>81</v>
      </c>
      <c r="AI127" t="s">
        <v>81</v>
      </c>
      <c r="AJ127" t="s">
        <v>80</v>
      </c>
      <c r="AK127" t="s">
        <v>80</v>
      </c>
      <c r="AL127" t="s">
        <v>80</v>
      </c>
      <c r="AM127" t="s">
        <v>81</v>
      </c>
      <c r="AN127">
        <v>5</v>
      </c>
      <c r="AO127">
        <v>5</v>
      </c>
      <c r="AP127">
        <v>5</v>
      </c>
      <c r="AQ127">
        <v>3</v>
      </c>
      <c r="AR127">
        <v>2</v>
      </c>
      <c r="AS127">
        <v>5</v>
      </c>
      <c r="AT127">
        <v>0</v>
      </c>
      <c r="AU127" t="s">
        <v>105</v>
      </c>
      <c r="AV127">
        <v>13</v>
      </c>
      <c r="AW127">
        <v>12</v>
      </c>
    </row>
    <row r="128" spans="16:49" x14ac:dyDescent="0.25">
      <c r="P128">
        <v>127</v>
      </c>
      <c r="Q128" t="s">
        <v>68</v>
      </c>
      <c r="R128" t="s">
        <v>69</v>
      </c>
      <c r="S128">
        <v>15</v>
      </c>
      <c r="T128" t="s">
        <v>70</v>
      </c>
      <c r="U128" t="s">
        <v>88</v>
      </c>
      <c r="V128" t="s">
        <v>72</v>
      </c>
      <c r="W128" t="s">
        <v>95</v>
      </c>
      <c r="X128" t="s">
        <v>73</v>
      </c>
      <c r="Y128" t="s">
        <v>85</v>
      </c>
      <c r="Z128" t="s">
        <v>85</v>
      </c>
      <c r="AA128" t="s">
        <v>92</v>
      </c>
      <c r="AB128" t="s">
        <v>77</v>
      </c>
      <c r="AC128" t="s">
        <v>87</v>
      </c>
      <c r="AD128" t="s">
        <v>79</v>
      </c>
      <c r="AE128">
        <v>0</v>
      </c>
      <c r="AF128" t="s">
        <v>80</v>
      </c>
      <c r="AG128" t="s">
        <v>81</v>
      </c>
      <c r="AH128" t="s">
        <v>81</v>
      </c>
      <c r="AI128" t="s">
        <v>80</v>
      </c>
      <c r="AJ128" t="s">
        <v>80</v>
      </c>
      <c r="AK128" t="s">
        <v>80</v>
      </c>
      <c r="AL128" t="s">
        <v>80</v>
      </c>
      <c r="AM128" t="s">
        <v>80</v>
      </c>
      <c r="AN128">
        <v>5</v>
      </c>
      <c r="AO128">
        <v>3</v>
      </c>
      <c r="AP128">
        <v>2</v>
      </c>
      <c r="AQ128">
        <v>1</v>
      </c>
      <c r="AR128">
        <v>1</v>
      </c>
      <c r="AS128">
        <v>1</v>
      </c>
      <c r="AT128">
        <v>0</v>
      </c>
      <c r="AU128" t="s">
        <v>89</v>
      </c>
      <c r="AV128">
        <v>10</v>
      </c>
      <c r="AW128">
        <v>11</v>
      </c>
    </row>
    <row r="129" spans="16:49" x14ac:dyDescent="0.25">
      <c r="P129">
        <v>128</v>
      </c>
      <c r="Q129" t="s">
        <v>68</v>
      </c>
      <c r="R129" t="s">
        <v>69</v>
      </c>
      <c r="S129">
        <v>19</v>
      </c>
      <c r="T129" t="s">
        <v>70</v>
      </c>
      <c r="U129" t="s">
        <v>71</v>
      </c>
      <c r="V129" t="s">
        <v>83</v>
      </c>
      <c r="W129" t="s">
        <v>114</v>
      </c>
      <c r="X129" t="s">
        <v>84</v>
      </c>
      <c r="Y129" t="s">
        <v>74</v>
      </c>
      <c r="Z129" t="s">
        <v>85</v>
      </c>
      <c r="AA129" t="s">
        <v>76</v>
      </c>
      <c r="AB129" t="s">
        <v>85</v>
      </c>
      <c r="AC129" t="s">
        <v>87</v>
      </c>
      <c r="AD129" t="s">
        <v>79</v>
      </c>
      <c r="AE129">
        <v>3</v>
      </c>
      <c r="AF129" t="s">
        <v>81</v>
      </c>
      <c r="AG129" t="s">
        <v>80</v>
      </c>
      <c r="AH129" t="s">
        <v>81</v>
      </c>
      <c r="AI129" t="s">
        <v>81</v>
      </c>
      <c r="AJ129" t="s">
        <v>81</v>
      </c>
      <c r="AK129" t="s">
        <v>81</v>
      </c>
      <c r="AL129" t="s">
        <v>81</v>
      </c>
      <c r="AM129" t="s">
        <v>81</v>
      </c>
      <c r="AN129">
        <v>3</v>
      </c>
      <c r="AO129">
        <v>4</v>
      </c>
      <c r="AP129">
        <v>2</v>
      </c>
      <c r="AQ129">
        <v>1</v>
      </c>
      <c r="AR129">
        <v>1</v>
      </c>
      <c r="AS129">
        <v>5</v>
      </c>
      <c r="AT129">
        <v>2</v>
      </c>
      <c r="AU129" t="s">
        <v>89</v>
      </c>
      <c r="AV129">
        <v>8</v>
      </c>
      <c r="AW129">
        <v>9</v>
      </c>
    </row>
    <row r="130" spans="16:49" x14ac:dyDescent="0.25">
      <c r="P130">
        <v>129</v>
      </c>
      <c r="Q130" t="s">
        <v>68</v>
      </c>
      <c r="R130" t="s">
        <v>97</v>
      </c>
      <c r="S130">
        <v>18</v>
      </c>
      <c r="T130" t="s">
        <v>107</v>
      </c>
      <c r="U130" t="s">
        <v>71</v>
      </c>
      <c r="V130" t="s">
        <v>83</v>
      </c>
      <c r="W130" t="s">
        <v>90</v>
      </c>
      <c r="X130" t="s">
        <v>90</v>
      </c>
      <c r="Y130" t="s">
        <v>91</v>
      </c>
      <c r="Z130" t="s">
        <v>85</v>
      </c>
      <c r="AA130" t="s">
        <v>98</v>
      </c>
      <c r="AB130" t="s">
        <v>77</v>
      </c>
      <c r="AC130" t="s">
        <v>87</v>
      </c>
      <c r="AD130" t="s">
        <v>104</v>
      </c>
      <c r="AE130">
        <v>2</v>
      </c>
      <c r="AF130" t="s">
        <v>81</v>
      </c>
      <c r="AG130" t="s">
        <v>80</v>
      </c>
      <c r="AH130" t="s">
        <v>81</v>
      </c>
      <c r="AI130" t="s">
        <v>80</v>
      </c>
      <c r="AJ130" t="s">
        <v>80</v>
      </c>
      <c r="AK130" t="s">
        <v>80</v>
      </c>
      <c r="AL130" t="s">
        <v>80</v>
      </c>
      <c r="AM130" t="s">
        <v>81</v>
      </c>
      <c r="AN130">
        <v>3</v>
      </c>
      <c r="AO130">
        <v>3</v>
      </c>
      <c r="AP130">
        <v>3</v>
      </c>
      <c r="AQ130">
        <v>1</v>
      </c>
      <c r="AR130">
        <v>2</v>
      </c>
      <c r="AS130">
        <v>4</v>
      </c>
      <c r="AT130">
        <v>0</v>
      </c>
      <c r="AU130" t="s">
        <v>89</v>
      </c>
      <c r="AV130">
        <v>4</v>
      </c>
      <c r="AW130">
        <v>0</v>
      </c>
    </row>
    <row r="131" spans="16:49" x14ac:dyDescent="0.25">
      <c r="P131">
        <v>130</v>
      </c>
      <c r="Q131" t="s">
        <v>68</v>
      </c>
      <c r="R131" t="s">
        <v>97</v>
      </c>
      <c r="S131">
        <v>16</v>
      </c>
      <c r="T131" t="s">
        <v>107</v>
      </c>
      <c r="U131" t="s">
        <v>71</v>
      </c>
      <c r="V131" t="s">
        <v>83</v>
      </c>
      <c r="W131" t="s">
        <v>73</v>
      </c>
      <c r="X131" t="s">
        <v>73</v>
      </c>
      <c r="Y131" t="s">
        <v>75</v>
      </c>
      <c r="Z131" t="s">
        <v>75</v>
      </c>
      <c r="AA131" t="s">
        <v>76</v>
      </c>
      <c r="AB131" t="s">
        <v>77</v>
      </c>
      <c r="AC131" t="s">
        <v>87</v>
      </c>
      <c r="AD131" t="s">
        <v>104</v>
      </c>
      <c r="AE131">
        <v>0</v>
      </c>
      <c r="AF131" t="s">
        <v>81</v>
      </c>
      <c r="AG131" t="s">
        <v>81</v>
      </c>
      <c r="AH131" t="s">
        <v>80</v>
      </c>
      <c r="AI131" t="s">
        <v>80</v>
      </c>
      <c r="AJ131" t="s">
        <v>80</v>
      </c>
      <c r="AK131" t="s">
        <v>80</v>
      </c>
      <c r="AL131" t="s">
        <v>80</v>
      </c>
      <c r="AM131" t="s">
        <v>81</v>
      </c>
      <c r="AN131">
        <v>3</v>
      </c>
      <c r="AO131">
        <v>5</v>
      </c>
      <c r="AP131">
        <v>5</v>
      </c>
      <c r="AQ131">
        <v>2</v>
      </c>
      <c r="AR131">
        <v>5</v>
      </c>
      <c r="AS131">
        <v>4</v>
      </c>
      <c r="AT131">
        <v>8</v>
      </c>
      <c r="AU131" t="s">
        <v>115</v>
      </c>
      <c r="AV131">
        <v>18</v>
      </c>
      <c r="AW131">
        <v>18</v>
      </c>
    </row>
    <row r="132" spans="16:49" x14ac:dyDescent="0.25">
      <c r="P132">
        <v>131</v>
      </c>
      <c r="Q132" t="s">
        <v>68</v>
      </c>
      <c r="R132" t="s">
        <v>69</v>
      </c>
      <c r="S132">
        <v>15</v>
      </c>
      <c r="T132" t="s">
        <v>107</v>
      </c>
      <c r="U132" t="s">
        <v>71</v>
      </c>
      <c r="V132" t="s">
        <v>83</v>
      </c>
      <c r="W132" t="s">
        <v>95</v>
      </c>
      <c r="X132" t="s">
        <v>73</v>
      </c>
      <c r="Y132" t="s">
        <v>91</v>
      </c>
      <c r="Z132" t="s">
        <v>75</v>
      </c>
      <c r="AA132" t="s">
        <v>76</v>
      </c>
      <c r="AB132" t="s">
        <v>86</v>
      </c>
      <c r="AC132" t="s">
        <v>78</v>
      </c>
      <c r="AD132" t="s">
        <v>93</v>
      </c>
      <c r="AE132">
        <v>2</v>
      </c>
      <c r="AF132" t="s">
        <v>81</v>
      </c>
      <c r="AG132" t="s">
        <v>80</v>
      </c>
      <c r="AH132" t="s">
        <v>81</v>
      </c>
      <c r="AI132" t="s">
        <v>81</v>
      </c>
      <c r="AJ132" t="s">
        <v>80</v>
      </c>
      <c r="AK132" t="s">
        <v>80</v>
      </c>
      <c r="AL132" t="s">
        <v>80</v>
      </c>
      <c r="AM132" t="s">
        <v>80</v>
      </c>
      <c r="AN132">
        <v>4</v>
      </c>
      <c r="AO132">
        <v>2</v>
      </c>
      <c r="AP132">
        <v>2</v>
      </c>
      <c r="AQ132">
        <v>2</v>
      </c>
      <c r="AR132">
        <v>2</v>
      </c>
      <c r="AS132">
        <v>5</v>
      </c>
      <c r="AT132">
        <v>0</v>
      </c>
      <c r="AU132" t="s">
        <v>99</v>
      </c>
      <c r="AV132">
        <v>0</v>
      </c>
      <c r="AW132">
        <v>0</v>
      </c>
    </row>
    <row r="133" spans="16:49" x14ac:dyDescent="0.25">
      <c r="P133">
        <v>132</v>
      </c>
      <c r="Q133" t="s">
        <v>68</v>
      </c>
      <c r="R133" t="s">
        <v>69</v>
      </c>
      <c r="S133">
        <v>15</v>
      </c>
      <c r="T133" t="s">
        <v>70</v>
      </c>
      <c r="U133" t="s">
        <v>71</v>
      </c>
      <c r="V133" t="s">
        <v>83</v>
      </c>
      <c r="W133" t="s">
        <v>84</v>
      </c>
      <c r="X133" t="s">
        <v>84</v>
      </c>
      <c r="Y133" t="s">
        <v>74</v>
      </c>
      <c r="Z133" t="s">
        <v>85</v>
      </c>
      <c r="AA133" t="s">
        <v>76</v>
      </c>
      <c r="AB133" t="s">
        <v>77</v>
      </c>
      <c r="AC133" t="s">
        <v>103</v>
      </c>
      <c r="AD133" t="s">
        <v>104</v>
      </c>
      <c r="AE133">
        <v>0</v>
      </c>
      <c r="AF133" t="s">
        <v>81</v>
      </c>
      <c r="AG133" t="s">
        <v>80</v>
      </c>
      <c r="AH133" t="s">
        <v>81</v>
      </c>
      <c r="AI133" t="s">
        <v>80</v>
      </c>
      <c r="AJ133" t="s">
        <v>81</v>
      </c>
      <c r="AK133" t="s">
        <v>80</v>
      </c>
      <c r="AL133" t="s">
        <v>80</v>
      </c>
      <c r="AM133" t="s">
        <v>80</v>
      </c>
      <c r="AN133">
        <v>4</v>
      </c>
      <c r="AO133">
        <v>3</v>
      </c>
      <c r="AP133">
        <v>3</v>
      </c>
      <c r="AQ133">
        <v>1</v>
      </c>
      <c r="AR133">
        <v>2</v>
      </c>
      <c r="AS133">
        <v>4</v>
      </c>
      <c r="AT133">
        <v>0</v>
      </c>
      <c r="AU133" t="s">
        <v>106</v>
      </c>
      <c r="AV133">
        <v>0</v>
      </c>
      <c r="AW133">
        <v>0</v>
      </c>
    </row>
    <row r="134" spans="16:49" x14ac:dyDescent="0.25">
      <c r="P134">
        <v>133</v>
      </c>
      <c r="Q134" t="s">
        <v>68</v>
      </c>
      <c r="R134" t="s">
        <v>69</v>
      </c>
      <c r="S134">
        <v>17</v>
      </c>
      <c r="T134" t="s">
        <v>70</v>
      </c>
      <c r="U134" t="s">
        <v>88</v>
      </c>
      <c r="V134" t="s">
        <v>83</v>
      </c>
      <c r="W134" t="s">
        <v>90</v>
      </c>
      <c r="X134" t="s">
        <v>90</v>
      </c>
      <c r="Y134" t="s">
        <v>85</v>
      </c>
      <c r="Z134" t="s">
        <v>85</v>
      </c>
      <c r="AA134" t="s">
        <v>76</v>
      </c>
      <c r="AB134" t="s">
        <v>86</v>
      </c>
      <c r="AC134" t="s">
        <v>87</v>
      </c>
      <c r="AD134" t="s">
        <v>104</v>
      </c>
      <c r="AE134">
        <v>0</v>
      </c>
      <c r="AF134" t="s">
        <v>81</v>
      </c>
      <c r="AG134" t="s">
        <v>80</v>
      </c>
      <c r="AH134" t="s">
        <v>81</v>
      </c>
      <c r="AI134" t="s">
        <v>81</v>
      </c>
      <c r="AJ134" t="s">
        <v>80</v>
      </c>
      <c r="AK134" t="s">
        <v>80</v>
      </c>
      <c r="AL134" t="s">
        <v>80</v>
      </c>
      <c r="AM134" t="s">
        <v>80</v>
      </c>
      <c r="AN134">
        <v>3</v>
      </c>
      <c r="AO134">
        <v>4</v>
      </c>
      <c r="AP134">
        <v>4</v>
      </c>
      <c r="AQ134">
        <v>1</v>
      </c>
      <c r="AR134">
        <v>3</v>
      </c>
      <c r="AS134">
        <v>5</v>
      </c>
      <c r="AT134">
        <v>12</v>
      </c>
      <c r="AU134" t="s">
        <v>102</v>
      </c>
      <c r="AV134">
        <v>13</v>
      </c>
      <c r="AW134">
        <v>12</v>
      </c>
    </row>
    <row r="135" spans="16:49" x14ac:dyDescent="0.25">
      <c r="P135">
        <v>134</v>
      </c>
      <c r="Q135" t="s">
        <v>68</v>
      </c>
      <c r="R135" t="s">
        <v>69</v>
      </c>
      <c r="S135">
        <v>16</v>
      </c>
      <c r="T135" t="s">
        <v>70</v>
      </c>
      <c r="U135" t="s">
        <v>71</v>
      </c>
      <c r="V135" t="s">
        <v>72</v>
      </c>
      <c r="W135" t="s">
        <v>95</v>
      </c>
      <c r="X135" t="s">
        <v>73</v>
      </c>
      <c r="Y135" t="s">
        <v>91</v>
      </c>
      <c r="Z135" t="s">
        <v>85</v>
      </c>
      <c r="AA135" t="s">
        <v>76</v>
      </c>
      <c r="AB135" t="s">
        <v>86</v>
      </c>
      <c r="AC135" t="s">
        <v>87</v>
      </c>
      <c r="AD135" t="s">
        <v>104</v>
      </c>
      <c r="AE135">
        <v>0</v>
      </c>
      <c r="AF135" t="s">
        <v>81</v>
      </c>
      <c r="AG135" t="s">
        <v>81</v>
      </c>
      <c r="AH135" t="s">
        <v>81</v>
      </c>
      <c r="AI135" t="s">
        <v>81</v>
      </c>
      <c r="AJ135" t="s">
        <v>80</v>
      </c>
      <c r="AK135" t="s">
        <v>80</v>
      </c>
      <c r="AL135" t="s">
        <v>80</v>
      </c>
      <c r="AM135" t="s">
        <v>81</v>
      </c>
      <c r="AN135">
        <v>3</v>
      </c>
      <c r="AO135">
        <v>2</v>
      </c>
      <c r="AP135">
        <v>1</v>
      </c>
      <c r="AQ135">
        <v>1</v>
      </c>
      <c r="AR135">
        <v>4</v>
      </c>
      <c r="AS135">
        <v>5</v>
      </c>
      <c r="AT135">
        <v>16</v>
      </c>
      <c r="AU135" t="s">
        <v>99</v>
      </c>
      <c r="AV135">
        <v>11</v>
      </c>
      <c r="AW135">
        <v>11</v>
      </c>
    </row>
    <row r="136" spans="16:49" x14ac:dyDescent="0.25">
      <c r="P136">
        <v>135</v>
      </c>
      <c r="Q136" t="s">
        <v>68</v>
      </c>
      <c r="R136" t="s">
        <v>97</v>
      </c>
      <c r="S136">
        <v>15</v>
      </c>
      <c r="T136" t="s">
        <v>107</v>
      </c>
      <c r="U136" t="s">
        <v>71</v>
      </c>
      <c r="V136" t="s">
        <v>83</v>
      </c>
      <c r="W136" t="s">
        <v>95</v>
      </c>
      <c r="X136" t="s">
        <v>73</v>
      </c>
      <c r="Y136" t="s">
        <v>74</v>
      </c>
      <c r="Z136" t="s">
        <v>75</v>
      </c>
      <c r="AA136" t="s">
        <v>76</v>
      </c>
      <c r="AB136" t="s">
        <v>77</v>
      </c>
      <c r="AC136" t="s">
        <v>113</v>
      </c>
      <c r="AD136" t="s">
        <v>79</v>
      </c>
      <c r="AE136">
        <v>0</v>
      </c>
      <c r="AF136" t="s">
        <v>81</v>
      </c>
      <c r="AG136" t="s">
        <v>80</v>
      </c>
      <c r="AH136" t="s">
        <v>81</v>
      </c>
      <c r="AI136" t="s">
        <v>81</v>
      </c>
      <c r="AJ136" t="s">
        <v>80</v>
      </c>
      <c r="AK136" t="s">
        <v>80</v>
      </c>
      <c r="AL136" t="s">
        <v>81</v>
      </c>
      <c r="AM136" t="s">
        <v>80</v>
      </c>
      <c r="AN136">
        <v>5</v>
      </c>
      <c r="AO136">
        <v>3</v>
      </c>
      <c r="AP136">
        <v>3</v>
      </c>
      <c r="AQ136">
        <v>1</v>
      </c>
      <c r="AR136">
        <v>1</v>
      </c>
      <c r="AS136">
        <v>5</v>
      </c>
      <c r="AT136">
        <v>0</v>
      </c>
      <c r="AU136" t="s">
        <v>109</v>
      </c>
      <c r="AV136">
        <v>0</v>
      </c>
      <c r="AW136">
        <v>0</v>
      </c>
    </row>
    <row r="137" spans="16:49" x14ac:dyDescent="0.25">
      <c r="P137">
        <v>136</v>
      </c>
      <c r="Q137" t="s">
        <v>68</v>
      </c>
      <c r="R137" t="s">
        <v>69</v>
      </c>
      <c r="S137">
        <v>15</v>
      </c>
      <c r="T137" t="s">
        <v>70</v>
      </c>
      <c r="U137" t="s">
        <v>71</v>
      </c>
      <c r="V137" t="s">
        <v>83</v>
      </c>
      <c r="W137" t="s">
        <v>73</v>
      </c>
      <c r="X137" t="s">
        <v>73</v>
      </c>
      <c r="Y137" t="s">
        <v>91</v>
      </c>
      <c r="Z137" t="s">
        <v>74</v>
      </c>
      <c r="AA137" t="s">
        <v>76</v>
      </c>
      <c r="AB137" t="s">
        <v>77</v>
      </c>
      <c r="AC137" t="s">
        <v>87</v>
      </c>
      <c r="AD137" t="s">
        <v>93</v>
      </c>
      <c r="AE137">
        <v>0</v>
      </c>
      <c r="AF137" t="s">
        <v>81</v>
      </c>
      <c r="AG137" t="s">
        <v>80</v>
      </c>
      <c r="AH137" t="s">
        <v>81</v>
      </c>
      <c r="AI137" t="s">
        <v>80</v>
      </c>
      <c r="AJ137" t="s">
        <v>80</v>
      </c>
      <c r="AK137" t="s">
        <v>80</v>
      </c>
      <c r="AL137" t="s">
        <v>80</v>
      </c>
      <c r="AM137" t="s">
        <v>80</v>
      </c>
      <c r="AN137">
        <v>4</v>
      </c>
      <c r="AO137">
        <v>3</v>
      </c>
      <c r="AP137">
        <v>3</v>
      </c>
      <c r="AQ137">
        <v>1</v>
      </c>
      <c r="AR137">
        <v>1</v>
      </c>
      <c r="AS137">
        <v>5</v>
      </c>
      <c r="AT137">
        <v>0</v>
      </c>
      <c r="AU137" t="s">
        <v>108</v>
      </c>
      <c r="AV137">
        <v>0</v>
      </c>
      <c r="AW137">
        <v>0</v>
      </c>
    </row>
    <row r="138" spans="16:49" x14ac:dyDescent="0.25">
      <c r="P138">
        <v>137</v>
      </c>
      <c r="Q138" t="s">
        <v>68</v>
      </c>
      <c r="R138" t="s">
        <v>97</v>
      </c>
      <c r="S138">
        <v>17</v>
      </c>
      <c r="T138" t="s">
        <v>107</v>
      </c>
      <c r="U138" t="s">
        <v>71</v>
      </c>
      <c r="V138" t="s">
        <v>83</v>
      </c>
      <c r="W138" t="s">
        <v>95</v>
      </c>
      <c r="X138" t="s">
        <v>73</v>
      </c>
      <c r="Y138" t="s">
        <v>74</v>
      </c>
      <c r="Z138" t="s">
        <v>85</v>
      </c>
      <c r="AA138" t="s">
        <v>76</v>
      </c>
      <c r="AB138" t="s">
        <v>77</v>
      </c>
      <c r="AC138" t="s">
        <v>103</v>
      </c>
      <c r="AD138" t="s">
        <v>79</v>
      </c>
      <c r="AE138">
        <v>0</v>
      </c>
      <c r="AF138" t="s">
        <v>81</v>
      </c>
      <c r="AG138" t="s">
        <v>81</v>
      </c>
      <c r="AH138" t="s">
        <v>81</v>
      </c>
      <c r="AI138" t="s">
        <v>81</v>
      </c>
      <c r="AJ138" t="s">
        <v>80</v>
      </c>
      <c r="AK138" t="s">
        <v>80</v>
      </c>
      <c r="AL138" t="s">
        <v>81</v>
      </c>
      <c r="AM138" t="s">
        <v>81</v>
      </c>
      <c r="AN138">
        <v>5</v>
      </c>
      <c r="AO138">
        <v>4</v>
      </c>
      <c r="AP138">
        <v>5</v>
      </c>
      <c r="AQ138">
        <v>2</v>
      </c>
      <c r="AR138">
        <v>4</v>
      </c>
      <c r="AS138">
        <v>5</v>
      </c>
      <c r="AT138">
        <v>0</v>
      </c>
      <c r="AU138" t="s">
        <v>102</v>
      </c>
      <c r="AV138">
        <v>0</v>
      </c>
      <c r="AW138">
        <v>0</v>
      </c>
    </row>
    <row r="139" spans="16:49" x14ac:dyDescent="0.25">
      <c r="P139">
        <v>138</v>
      </c>
      <c r="Q139" t="s">
        <v>68</v>
      </c>
      <c r="R139" t="s">
        <v>69</v>
      </c>
      <c r="S139">
        <v>16</v>
      </c>
      <c r="T139" t="s">
        <v>70</v>
      </c>
      <c r="U139" t="s">
        <v>71</v>
      </c>
      <c r="V139" t="s">
        <v>72</v>
      </c>
      <c r="W139" t="s">
        <v>95</v>
      </c>
      <c r="X139" t="s">
        <v>95</v>
      </c>
      <c r="Y139" t="s">
        <v>85</v>
      </c>
      <c r="Z139" t="s">
        <v>85</v>
      </c>
      <c r="AA139" t="s">
        <v>76</v>
      </c>
      <c r="AB139" t="s">
        <v>85</v>
      </c>
      <c r="AC139" t="s">
        <v>78</v>
      </c>
      <c r="AD139" t="s">
        <v>104</v>
      </c>
      <c r="AE139">
        <v>2</v>
      </c>
      <c r="AF139" t="s">
        <v>81</v>
      </c>
      <c r="AG139" t="s">
        <v>80</v>
      </c>
      <c r="AH139" t="s">
        <v>81</v>
      </c>
      <c r="AI139" t="s">
        <v>80</v>
      </c>
      <c r="AJ139" t="s">
        <v>81</v>
      </c>
      <c r="AK139" t="s">
        <v>80</v>
      </c>
      <c r="AL139" t="s">
        <v>80</v>
      </c>
      <c r="AM139" t="s">
        <v>80</v>
      </c>
      <c r="AN139">
        <v>4</v>
      </c>
      <c r="AO139">
        <v>3</v>
      </c>
      <c r="AP139">
        <v>2</v>
      </c>
      <c r="AQ139">
        <v>1</v>
      </c>
      <c r="AR139">
        <v>1</v>
      </c>
      <c r="AS139">
        <v>5</v>
      </c>
      <c r="AT139">
        <v>0</v>
      </c>
      <c r="AU139" t="s">
        <v>116</v>
      </c>
      <c r="AV139">
        <v>0</v>
      </c>
      <c r="AW139">
        <v>0</v>
      </c>
    </row>
    <row r="140" spans="16:49" x14ac:dyDescent="0.25">
      <c r="P140">
        <v>139</v>
      </c>
      <c r="Q140" t="s">
        <v>68</v>
      </c>
      <c r="R140" t="s">
        <v>97</v>
      </c>
      <c r="S140">
        <v>16</v>
      </c>
      <c r="T140" t="s">
        <v>70</v>
      </c>
      <c r="U140" t="s">
        <v>88</v>
      </c>
      <c r="V140" t="s">
        <v>83</v>
      </c>
      <c r="W140" t="s">
        <v>84</v>
      </c>
      <c r="X140" t="s">
        <v>84</v>
      </c>
      <c r="Y140" t="s">
        <v>91</v>
      </c>
      <c r="Z140" t="s">
        <v>85</v>
      </c>
      <c r="AA140" t="s">
        <v>76</v>
      </c>
      <c r="AB140" t="s">
        <v>77</v>
      </c>
      <c r="AC140" t="s">
        <v>87</v>
      </c>
      <c r="AD140" t="s">
        <v>79</v>
      </c>
      <c r="AE140">
        <v>1</v>
      </c>
      <c r="AF140" t="s">
        <v>81</v>
      </c>
      <c r="AG140" t="s">
        <v>81</v>
      </c>
      <c r="AH140" t="s">
        <v>81</v>
      </c>
      <c r="AI140" t="s">
        <v>81</v>
      </c>
      <c r="AJ140" t="s">
        <v>80</v>
      </c>
      <c r="AK140" t="s">
        <v>80</v>
      </c>
      <c r="AL140" t="s">
        <v>81</v>
      </c>
      <c r="AM140" t="s">
        <v>80</v>
      </c>
      <c r="AN140">
        <v>4</v>
      </c>
      <c r="AO140">
        <v>4</v>
      </c>
      <c r="AP140">
        <v>4</v>
      </c>
      <c r="AQ140">
        <v>1</v>
      </c>
      <c r="AR140">
        <v>3</v>
      </c>
      <c r="AS140">
        <v>5</v>
      </c>
      <c r="AT140">
        <v>0</v>
      </c>
      <c r="AU140" t="s">
        <v>101</v>
      </c>
      <c r="AV140">
        <v>12</v>
      </c>
      <c r="AW140">
        <v>12</v>
      </c>
    </row>
    <row r="141" spans="16:49" x14ac:dyDescent="0.25">
      <c r="P141">
        <v>140</v>
      </c>
      <c r="Q141" t="s">
        <v>68</v>
      </c>
      <c r="R141" t="s">
        <v>69</v>
      </c>
      <c r="S141">
        <v>15</v>
      </c>
      <c r="T141" t="s">
        <v>70</v>
      </c>
      <c r="U141" t="s">
        <v>71</v>
      </c>
      <c r="V141" t="s">
        <v>83</v>
      </c>
      <c r="W141" t="s">
        <v>73</v>
      </c>
      <c r="X141" t="s">
        <v>73</v>
      </c>
      <c r="Y141" t="s">
        <v>75</v>
      </c>
      <c r="Z141" t="s">
        <v>75</v>
      </c>
      <c r="AA141" t="s">
        <v>76</v>
      </c>
      <c r="AB141" t="s">
        <v>77</v>
      </c>
      <c r="AC141" t="s">
        <v>78</v>
      </c>
      <c r="AD141" t="s">
        <v>104</v>
      </c>
      <c r="AE141">
        <v>0</v>
      </c>
      <c r="AF141" t="s">
        <v>81</v>
      </c>
      <c r="AG141" t="s">
        <v>81</v>
      </c>
      <c r="AH141" t="s">
        <v>81</v>
      </c>
      <c r="AI141" t="s">
        <v>80</v>
      </c>
      <c r="AJ141" t="s">
        <v>80</v>
      </c>
      <c r="AK141" t="s">
        <v>80</v>
      </c>
      <c r="AL141" t="s">
        <v>80</v>
      </c>
      <c r="AM141" t="s">
        <v>81</v>
      </c>
      <c r="AN141">
        <v>4</v>
      </c>
      <c r="AO141">
        <v>3</v>
      </c>
      <c r="AP141">
        <v>2</v>
      </c>
      <c r="AQ141">
        <v>1</v>
      </c>
      <c r="AR141">
        <v>1</v>
      </c>
      <c r="AS141">
        <v>5</v>
      </c>
      <c r="AT141">
        <v>0</v>
      </c>
      <c r="AU141" t="s">
        <v>100</v>
      </c>
      <c r="AV141">
        <v>16</v>
      </c>
      <c r="AW141">
        <v>15</v>
      </c>
    </row>
    <row r="142" spans="16:49" x14ac:dyDescent="0.25">
      <c r="P142">
        <v>141</v>
      </c>
      <c r="Q142" t="s">
        <v>68</v>
      </c>
      <c r="R142" t="s">
        <v>97</v>
      </c>
      <c r="S142">
        <v>15</v>
      </c>
      <c r="T142" t="s">
        <v>70</v>
      </c>
      <c r="U142" t="s">
        <v>71</v>
      </c>
      <c r="V142" t="s">
        <v>83</v>
      </c>
      <c r="W142" t="s">
        <v>73</v>
      </c>
      <c r="X142" t="s">
        <v>95</v>
      </c>
      <c r="Y142" t="s">
        <v>75</v>
      </c>
      <c r="Z142" t="s">
        <v>91</v>
      </c>
      <c r="AA142" t="s">
        <v>76</v>
      </c>
      <c r="AB142" t="s">
        <v>86</v>
      </c>
      <c r="AC142" t="s">
        <v>78</v>
      </c>
      <c r="AD142" t="s">
        <v>112</v>
      </c>
      <c r="AE142">
        <v>0</v>
      </c>
      <c r="AF142" t="s">
        <v>80</v>
      </c>
      <c r="AG142" t="s">
        <v>80</v>
      </c>
      <c r="AH142" t="s">
        <v>81</v>
      </c>
      <c r="AI142" t="s">
        <v>81</v>
      </c>
      <c r="AJ142" t="s">
        <v>80</v>
      </c>
      <c r="AK142" t="s">
        <v>80</v>
      </c>
      <c r="AL142" t="s">
        <v>80</v>
      </c>
      <c r="AM142" t="s">
        <v>81</v>
      </c>
      <c r="AN142">
        <v>2</v>
      </c>
      <c r="AO142">
        <v>2</v>
      </c>
      <c r="AP142">
        <v>2</v>
      </c>
      <c r="AQ142">
        <v>1</v>
      </c>
      <c r="AR142">
        <v>1</v>
      </c>
      <c r="AS142">
        <v>3</v>
      </c>
      <c r="AT142">
        <v>0</v>
      </c>
      <c r="AU142" t="s">
        <v>89</v>
      </c>
      <c r="AV142">
        <v>9</v>
      </c>
      <c r="AW142">
        <v>0</v>
      </c>
    </row>
    <row r="143" spans="16:49" x14ac:dyDescent="0.25">
      <c r="P143">
        <v>142</v>
      </c>
      <c r="Q143" t="s">
        <v>68</v>
      </c>
      <c r="R143" t="s">
        <v>97</v>
      </c>
      <c r="S143">
        <v>16</v>
      </c>
      <c r="T143" t="s">
        <v>70</v>
      </c>
      <c r="U143" t="s">
        <v>88</v>
      </c>
      <c r="V143" t="s">
        <v>83</v>
      </c>
      <c r="W143" t="s">
        <v>90</v>
      </c>
      <c r="X143" t="s">
        <v>90</v>
      </c>
      <c r="Y143" t="s">
        <v>91</v>
      </c>
      <c r="Z143" t="s">
        <v>91</v>
      </c>
      <c r="AA143" t="s">
        <v>98</v>
      </c>
      <c r="AB143" t="s">
        <v>86</v>
      </c>
      <c r="AC143" t="s">
        <v>78</v>
      </c>
      <c r="AD143" t="s">
        <v>104</v>
      </c>
      <c r="AE143">
        <v>2</v>
      </c>
      <c r="AF143" t="s">
        <v>81</v>
      </c>
      <c r="AG143" t="s">
        <v>80</v>
      </c>
      <c r="AH143" t="s">
        <v>81</v>
      </c>
      <c r="AI143" t="s">
        <v>80</v>
      </c>
      <c r="AJ143" t="s">
        <v>80</v>
      </c>
      <c r="AK143" t="s">
        <v>80</v>
      </c>
      <c r="AL143" t="s">
        <v>80</v>
      </c>
      <c r="AM143" t="s">
        <v>81</v>
      </c>
      <c r="AN143">
        <v>2</v>
      </c>
      <c r="AO143">
        <v>3</v>
      </c>
      <c r="AP143">
        <v>3</v>
      </c>
      <c r="AQ143">
        <v>2</v>
      </c>
      <c r="AR143">
        <v>2</v>
      </c>
      <c r="AS143">
        <v>2</v>
      </c>
      <c r="AT143">
        <v>8</v>
      </c>
      <c r="AU143" t="s">
        <v>109</v>
      </c>
      <c r="AV143">
        <v>9</v>
      </c>
      <c r="AW143">
        <v>9</v>
      </c>
    </row>
    <row r="144" spans="16:49" x14ac:dyDescent="0.25">
      <c r="P144">
        <v>143</v>
      </c>
      <c r="Q144" t="s">
        <v>68</v>
      </c>
      <c r="R144" t="s">
        <v>69</v>
      </c>
      <c r="S144">
        <v>15</v>
      </c>
      <c r="T144" t="s">
        <v>70</v>
      </c>
      <c r="U144" t="s">
        <v>71</v>
      </c>
      <c r="V144" t="s">
        <v>83</v>
      </c>
      <c r="W144" t="s">
        <v>73</v>
      </c>
      <c r="X144" t="s">
        <v>73</v>
      </c>
      <c r="Y144" t="s">
        <v>75</v>
      </c>
      <c r="Z144" t="s">
        <v>91</v>
      </c>
      <c r="AA144" t="s">
        <v>76</v>
      </c>
      <c r="AB144" t="s">
        <v>77</v>
      </c>
      <c r="AC144" t="s">
        <v>87</v>
      </c>
      <c r="AD144" t="s">
        <v>93</v>
      </c>
      <c r="AE144">
        <v>0</v>
      </c>
      <c r="AF144" t="s">
        <v>81</v>
      </c>
      <c r="AG144" t="s">
        <v>80</v>
      </c>
      <c r="AH144" t="s">
        <v>80</v>
      </c>
      <c r="AI144" t="s">
        <v>80</v>
      </c>
      <c r="AJ144" t="s">
        <v>80</v>
      </c>
      <c r="AK144" t="s">
        <v>80</v>
      </c>
      <c r="AL144" t="s">
        <v>80</v>
      </c>
      <c r="AM144" t="s">
        <v>81</v>
      </c>
      <c r="AN144">
        <v>4</v>
      </c>
      <c r="AO144">
        <v>2</v>
      </c>
      <c r="AP144">
        <v>2</v>
      </c>
      <c r="AQ144">
        <v>1</v>
      </c>
      <c r="AR144">
        <v>1</v>
      </c>
      <c r="AS144">
        <v>5</v>
      </c>
      <c r="AT144">
        <v>2</v>
      </c>
      <c r="AU144" t="s">
        <v>109</v>
      </c>
      <c r="AV144">
        <v>11</v>
      </c>
      <c r="AW144">
        <v>11</v>
      </c>
    </row>
    <row r="145" spans="16:49" x14ac:dyDescent="0.25">
      <c r="P145">
        <v>144</v>
      </c>
      <c r="Q145" t="s">
        <v>68</v>
      </c>
      <c r="R145" t="s">
        <v>69</v>
      </c>
      <c r="S145">
        <v>16</v>
      </c>
      <c r="T145" t="s">
        <v>70</v>
      </c>
      <c r="U145" t="s">
        <v>88</v>
      </c>
      <c r="V145" t="s">
        <v>83</v>
      </c>
      <c r="W145" t="s">
        <v>84</v>
      </c>
      <c r="X145" t="s">
        <v>84</v>
      </c>
      <c r="Y145" t="s">
        <v>74</v>
      </c>
      <c r="Z145" t="s">
        <v>74</v>
      </c>
      <c r="AA145" t="s">
        <v>76</v>
      </c>
      <c r="AB145" t="s">
        <v>77</v>
      </c>
      <c r="AC145" t="s">
        <v>87</v>
      </c>
      <c r="AD145" t="s">
        <v>104</v>
      </c>
      <c r="AE145">
        <v>0</v>
      </c>
      <c r="AF145" t="s">
        <v>81</v>
      </c>
      <c r="AG145" t="s">
        <v>81</v>
      </c>
      <c r="AH145" t="s">
        <v>81</v>
      </c>
      <c r="AI145" t="s">
        <v>81</v>
      </c>
      <c r="AJ145" t="s">
        <v>80</v>
      </c>
      <c r="AK145" t="s">
        <v>80</v>
      </c>
      <c r="AL145" t="s">
        <v>80</v>
      </c>
      <c r="AM145" t="s">
        <v>81</v>
      </c>
      <c r="AN145">
        <v>3</v>
      </c>
      <c r="AO145">
        <v>4</v>
      </c>
      <c r="AP145">
        <v>4</v>
      </c>
      <c r="AQ145">
        <v>3</v>
      </c>
      <c r="AR145">
        <v>3</v>
      </c>
      <c r="AS145">
        <v>1</v>
      </c>
      <c r="AT145">
        <v>2</v>
      </c>
      <c r="AU145" t="s">
        <v>101</v>
      </c>
      <c r="AV145">
        <v>14</v>
      </c>
      <c r="AW145">
        <v>13</v>
      </c>
    </row>
    <row r="146" spans="16:49" x14ac:dyDescent="0.25">
      <c r="P146">
        <v>145</v>
      </c>
      <c r="Q146" t="s">
        <v>68</v>
      </c>
      <c r="R146" t="s">
        <v>97</v>
      </c>
      <c r="S146">
        <v>17</v>
      </c>
      <c r="T146" t="s">
        <v>70</v>
      </c>
      <c r="U146" t="s">
        <v>71</v>
      </c>
      <c r="V146" t="s">
        <v>83</v>
      </c>
      <c r="W146" t="s">
        <v>90</v>
      </c>
      <c r="X146" t="s">
        <v>84</v>
      </c>
      <c r="Y146" t="s">
        <v>85</v>
      </c>
      <c r="Z146" t="s">
        <v>85</v>
      </c>
      <c r="AA146" t="s">
        <v>92</v>
      </c>
      <c r="AB146" t="s">
        <v>77</v>
      </c>
      <c r="AC146" t="s">
        <v>87</v>
      </c>
      <c r="AD146" t="s">
        <v>104</v>
      </c>
      <c r="AE146">
        <v>3</v>
      </c>
      <c r="AF146" t="s">
        <v>81</v>
      </c>
      <c r="AG146" t="s">
        <v>80</v>
      </c>
      <c r="AH146" t="s">
        <v>81</v>
      </c>
      <c r="AI146" t="s">
        <v>81</v>
      </c>
      <c r="AJ146" t="s">
        <v>80</v>
      </c>
      <c r="AK146" t="s">
        <v>80</v>
      </c>
      <c r="AL146" t="s">
        <v>80</v>
      </c>
      <c r="AM146" t="s">
        <v>81</v>
      </c>
      <c r="AN146">
        <v>5</v>
      </c>
      <c r="AO146">
        <v>4</v>
      </c>
      <c r="AP146">
        <v>5</v>
      </c>
      <c r="AQ146">
        <v>1</v>
      </c>
      <c r="AR146">
        <v>2</v>
      </c>
      <c r="AS146">
        <v>5</v>
      </c>
      <c r="AT146">
        <v>0</v>
      </c>
      <c r="AU146" t="s">
        <v>82</v>
      </c>
      <c r="AV146">
        <v>0</v>
      </c>
      <c r="AW146">
        <v>0</v>
      </c>
    </row>
    <row r="147" spans="16:49" x14ac:dyDescent="0.25">
      <c r="P147">
        <v>146</v>
      </c>
      <c r="Q147" t="s">
        <v>68</v>
      </c>
      <c r="R147" t="s">
        <v>69</v>
      </c>
      <c r="S147">
        <v>15</v>
      </c>
      <c r="T147" t="s">
        <v>70</v>
      </c>
      <c r="U147" t="s">
        <v>71</v>
      </c>
      <c r="V147" t="s">
        <v>83</v>
      </c>
      <c r="W147" t="s">
        <v>84</v>
      </c>
      <c r="X147" t="s">
        <v>84</v>
      </c>
      <c r="Y147" t="s">
        <v>85</v>
      </c>
      <c r="Z147" t="s">
        <v>91</v>
      </c>
      <c r="AA147" t="s">
        <v>76</v>
      </c>
      <c r="AB147" t="s">
        <v>86</v>
      </c>
      <c r="AC147" t="s">
        <v>87</v>
      </c>
      <c r="AD147" t="s">
        <v>79</v>
      </c>
      <c r="AE147">
        <v>0</v>
      </c>
      <c r="AF147" t="s">
        <v>81</v>
      </c>
      <c r="AG147" t="s">
        <v>80</v>
      </c>
      <c r="AH147" t="s">
        <v>80</v>
      </c>
      <c r="AI147" t="s">
        <v>81</v>
      </c>
      <c r="AJ147" t="s">
        <v>80</v>
      </c>
      <c r="AK147" t="s">
        <v>80</v>
      </c>
      <c r="AL147" t="s">
        <v>80</v>
      </c>
      <c r="AM147" t="s">
        <v>81</v>
      </c>
      <c r="AN147">
        <v>4</v>
      </c>
      <c r="AO147">
        <v>4</v>
      </c>
      <c r="AP147">
        <v>2</v>
      </c>
      <c r="AQ147">
        <v>1</v>
      </c>
      <c r="AR147">
        <v>2</v>
      </c>
      <c r="AS147">
        <v>5</v>
      </c>
      <c r="AT147">
        <v>0</v>
      </c>
      <c r="AU147" t="s">
        <v>106</v>
      </c>
      <c r="AV147">
        <v>11</v>
      </c>
      <c r="AW147">
        <v>11</v>
      </c>
    </row>
    <row r="148" spans="16:49" x14ac:dyDescent="0.25">
      <c r="P148">
        <v>147</v>
      </c>
      <c r="Q148" t="s">
        <v>68</v>
      </c>
      <c r="R148" t="s">
        <v>69</v>
      </c>
      <c r="S148">
        <v>15</v>
      </c>
      <c r="T148" t="s">
        <v>70</v>
      </c>
      <c r="U148" t="s">
        <v>71</v>
      </c>
      <c r="V148" t="s">
        <v>83</v>
      </c>
      <c r="W148" t="s">
        <v>95</v>
      </c>
      <c r="X148" t="s">
        <v>90</v>
      </c>
      <c r="Y148" t="s">
        <v>63</v>
      </c>
      <c r="Z148" t="s">
        <v>91</v>
      </c>
      <c r="AA148" t="s">
        <v>92</v>
      </c>
      <c r="AB148" t="s">
        <v>86</v>
      </c>
      <c r="AC148" t="s">
        <v>87</v>
      </c>
      <c r="AD148" t="s">
        <v>79</v>
      </c>
      <c r="AE148">
        <v>3</v>
      </c>
      <c r="AF148" t="s">
        <v>81</v>
      </c>
      <c r="AG148" t="s">
        <v>80</v>
      </c>
      <c r="AH148" t="s">
        <v>81</v>
      </c>
      <c r="AI148" t="s">
        <v>81</v>
      </c>
      <c r="AJ148" t="s">
        <v>80</v>
      </c>
      <c r="AK148" t="s">
        <v>80</v>
      </c>
      <c r="AL148" t="s">
        <v>80</v>
      </c>
      <c r="AM148" t="s">
        <v>81</v>
      </c>
      <c r="AN148">
        <v>3</v>
      </c>
      <c r="AO148">
        <v>3</v>
      </c>
      <c r="AP148">
        <v>2</v>
      </c>
      <c r="AQ148">
        <v>1</v>
      </c>
      <c r="AR148">
        <v>1</v>
      </c>
      <c r="AS148">
        <v>3</v>
      </c>
      <c r="AT148">
        <v>0</v>
      </c>
      <c r="AU148" t="s">
        <v>96</v>
      </c>
      <c r="AV148">
        <v>7</v>
      </c>
      <c r="AW148">
        <v>0</v>
      </c>
    </row>
    <row r="149" spans="16:49" x14ac:dyDescent="0.25">
      <c r="P149">
        <v>148</v>
      </c>
      <c r="Q149" t="s">
        <v>68</v>
      </c>
      <c r="R149" t="s">
        <v>69</v>
      </c>
      <c r="S149">
        <v>15</v>
      </c>
      <c r="T149" t="s">
        <v>70</v>
      </c>
      <c r="U149" t="s">
        <v>71</v>
      </c>
      <c r="V149" t="s">
        <v>83</v>
      </c>
      <c r="W149" t="s">
        <v>84</v>
      </c>
      <c r="X149" t="s">
        <v>90</v>
      </c>
      <c r="Y149" t="s">
        <v>74</v>
      </c>
      <c r="Z149" t="s">
        <v>85</v>
      </c>
      <c r="AA149" t="s">
        <v>76</v>
      </c>
      <c r="AB149" t="s">
        <v>77</v>
      </c>
      <c r="AC149" t="s">
        <v>87</v>
      </c>
      <c r="AD149" t="s">
        <v>79</v>
      </c>
      <c r="AE149">
        <v>0</v>
      </c>
      <c r="AF149" t="s">
        <v>81</v>
      </c>
      <c r="AG149" t="s">
        <v>80</v>
      </c>
      <c r="AH149" t="s">
        <v>80</v>
      </c>
      <c r="AI149" t="s">
        <v>81</v>
      </c>
      <c r="AJ149" t="s">
        <v>81</v>
      </c>
      <c r="AK149" t="s">
        <v>80</v>
      </c>
      <c r="AL149" t="s">
        <v>80</v>
      </c>
      <c r="AM149" t="s">
        <v>81</v>
      </c>
      <c r="AN149">
        <v>4</v>
      </c>
      <c r="AO149">
        <v>3</v>
      </c>
      <c r="AP149">
        <v>2</v>
      </c>
      <c r="AQ149">
        <v>1</v>
      </c>
      <c r="AR149">
        <v>1</v>
      </c>
      <c r="AS149">
        <v>5</v>
      </c>
      <c r="AT149">
        <v>2</v>
      </c>
      <c r="AU149" t="s">
        <v>102</v>
      </c>
      <c r="AV149">
        <v>11</v>
      </c>
      <c r="AW149">
        <v>11</v>
      </c>
    </row>
    <row r="150" spans="16:49" x14ac:dyDescent="0.25">
      <c r="P150">
        <v>149</v>
      </c>
      <c r="Q150" t="s">
        <v>68</v>
      </c>
      <c r="R150" t="s">
        <v>97</v>
      </c>
      <c r="S150">
        <v>16</v>
      </c>
      <c r="T150" t="s">
        <v>70</v>
      </c>
      <c r="U150" t="s">
        <v>71</v>
      </c>
      <c r="V150" t="s">
        <v>83</v>
      </c>
      <c r="W150" t="s">
        <v>73</v>
      </c>
      <c r="X150" t="s">
        <v>73</v>
      </c>
      <c r="Y150" t="s">
        <v>75</v>
      </c>
      <c r="Z150" t="s">
        <v>75</v>
      </c>
      <c r="AA150" t="s">
        <v>76</v>
      </c>
      <c r="AB150" t="s">
        <v>77</v>
      </c>
      <c r="AC150" t="s">
        <v>87</v>
      </c>
      <c r="AD150" t="s">
        <v>104</v>
      </c>
      <c r="AE150">
        <v>0</v>
      </c>
      <c r="AF150" t="s">
        <v>81</v>
      </c>
      <c r="AG150" t="s">
        <v>80</v>
      </c>
      <c r="AH150" t="s">
        <v>81</v>
      </c>
      <c r="AI150" t="s">
        <v>81</v>
      </c>
      <c r="AJ150" t="s">
        <v>80</v>
      </c>
      <c r="AK150" t="s">
        <v>81</v>
      </c>
      <c r="AL150" t="s">
        <v>80</v>
      </c>
      <c r="AM150" t="s">
        <v>80</v>
      </c>
      <c r="AN150">
        <v>3</v>
      </c>
      <c r="AO150">
        <v>3</v>
      </c>
      <c r="AP150">
        <v>2</v>
      </c>
      <c r="AQ150">
        <v>2</v>
      </c>
      <c r="AR150">
        <v>1</v>
      </c>
      <c r="AS150">
        <v>5</v>
      </c>
      <c r="AT150">
        <v>0</v>
      </c>
      <c r="AU150" t="s">
        <v>89</v>
      </c>
      <c r="AV150">
        <v>6</v>
      </c>
      <c r="AW150">
        <v>0</v>
      </c>
    </row>
    <row r="151" spans="16:49" x14ac:dyDescent="0.25">
      <c r="P151">
        <v>150</v>
      </c>
      <c r="Q151" t="s">
        <v>68</v>
      </c>
      <c r="R151" t="s">
        <v>97</v>
      </c>
      <c r="S151">
        <v>15</v>
      </c>
      <c r="T151" t="s">
        <v>70</v>
      </c>
      <c r="U151" t="s">
        <v>88</v>
      </c>
      <c r="V151" t="s">
        <v>72</v>
      </c>
      <c r="W151" t="s">
        <v>90</v>
      </c>
      <c r="X151" t="s">
        <v>84</v>
      </c>
      <c r="Y151" t="s">
        <v>91</v>
      </c>
      <c r="Z151" t="s">
        <v>85</v>
      </c>
      <c r="AA151" t="s">
        <v>76</v>
      </c>
      <c r="AB151" t="s">
        <v>77</v>
      </c>
      <c r="AC151" t="s">
        <v>113</v>
      </c>
      <c r="AD151" t="s">
        <v>104</v>
      </c>
      <c r="AE151">
        <v>3</v>
      </c>
      <c r="AF151" t="s">
        <v>81</v>
      </c>
      <c r="AG151" t="s">
        <v>81</v>
      </c>
      <c r="AH151" t="s">
        <v>81</v>
      </c>
      <c r="AI151" t="s">
        <v>81</v>
      </c>
      <c r="AJ151" t="s">
        <v>80</v>
      </c>
      <c r="AK151" t="s">
        <v>80</v>
      </c>
      <c r="AL151" t="s">
        <v>80</v>
      </c>
      <c r="AM151" t="s">
        <v>81</v>
      </c>
      <c r="AN151">
        <v>4</v>
      </c>
      <c r="AO151">
        <v>5</v>
      </c>
      <c r="AP151">
        <v>5</v>
      </c>
      <c r="AQ151">
        <v>2</v>
      </c>
      <c r="AR151">
        <v>5</v>
      </c>
      <c r="AS151">
        <v>5</v>
      </c>
      <c r="AT151">
        <v>0</v>
      </c>
      <c r="AU151" t="s">
        <v>106</v>
      </c>
      <c r="AV151">
        <v>9</v>
      </c>
      <c r="AW151">
        <v>10</v>
      </c>
    </row>
    <row r="152" spans="16:49" x14ac:dyDescent="0.25">
      <c r="P152">
        <v>151</v>
      </c>
      <c r="Q152" t="s">
        <v>68</v>
      </c>
      <c r="R152" t="s">
        <v>97</v>
      </c>
      <c r="S152">
        <v>18</v>
      </c>
      <c r="T152" t="s">
        <v>70</v>
      </c>
      <c r="U152" t="s">
        <v>88</v>
      </c>
      <c r="V152" t="s">
        <v>83</v>
      </c>
      <c r="W152" t="s">
        <v>84</v>
      </c>
      <c r="X152" t="s">
        <v>84</v>
      </c>
      <c r="Y152" t="s">
        <v>85</v>
      </c>
      <c r="Z152" t="s">
        <v>85</v>
      </c>
      <c r="AA152" t="s">
        <v>76</v>
      </c>
      <c r="AB152" t="s">
        <v>77</v>
      </c>
      <c r="AC152" t="s">
        <v>87</v>
      </c>
      <c r="AD152" t="s">
        <v>104</v>
      </c>
      <c r="AE152">
        <v>3</v>
      </c>
      <c r="AF152" t="s">
        <v>81</v>
      </c>
      <c r="AG152" t="s">
        <v>81</v>
      </c>
      <c r="AH152" t="s">
        <v>81</v>
      </c>
      <c r="AI152" t="s">
        <v>81</v>
      </c>
      <c r="AJ152" t="s">
        <v>80</v>
      </c>
      <c r="AK152" t="s">
        <v>81</v>
      </c>
      <c r="AL152" t="s">
        <v>80</v>
      </c>
      <c r="AM152" t="s">
        <v>80</v>
      </c>
      <c r="AN152">
        <v>2</v>
      </c>
      <c r="AO152">
        <v>3</v>
      </c>
      <c r="AP152">
        <v>5</v>
      </c>
      <c r="AQ152">
        <v>2</v>
      </c>
      <c r="AR152">
        <v>5</v>
      </c>
      <c r="AS152">
        <v>4</v>
      </c>
      <c r="AT152">
        <v>0</v>
      </c>
      <c r="AU152" t="s">
        <v>96</v>
      </c>
      <c r="AV152">
        <v>5</v>
      </c>
      <c r="AW152">
        <v>0</v>
      </c>
    </row>
    <row r="153" spans="16:49" x14ac:dyDescent="0.25">
      <c r="P153">
        <v>152</v>
      </c>
      <c r="Q153" t="s">
        <v>68</v>
      </c>
      <c r="R153" t="s">
        <v>97</v>
      </c>
      <c r="S153">
        <v>16</v>
      </c>
      <c r="T153" t="s">
        <v>70</v>
      </c>
      <c r="U153" t="s">
        <v>88</v>
      </c>
      <c r="V153" t="s">
        <v>83</v>
      </c>
      <c r="W153" t="s">
        <v>90</v>
      </c>
      <c r="X153" t="s">
        <v>84</v>
      </c>
      <c r="Y153" t="s">
        <v>74</v>
      </c>
      <c r="Z153" t="s">
        <v>85</v>
      </c>
      <c r="AA153" t="s">
        <v>76</v>
      </c>
      <c r="AB153" t="s">
        <v>77</v>
      </c>
      <c r="AC153" t="s">
        <v>87</v>
      </c>
      <c r="AD153" t="s">
        <v>104</v>
      </c>
      <c r="AE153">
        <v>1</v>
      </c>
      <c r="AF153" t="s">
        <v>81</v>
      </c>
      <c r="AG153" t="s">
        <v>81</v>
      </c>
      <c r="AH153" t="s">
        <v>81</v>
      </c>
      <c r="AI153" t="s">
        <v>80</v>
      </c>
      <c r="AJ153" t="s">
        <v>80</v>
      </c>
      <c r="AK153" t="s">
        <v>80</v>
      </c>
      <c r="AL153" t="s">
        <v>81</v>
      </c>
      <c r="AM153" t="s">
        <v>80</v>
      </c>
      <c r="AN153">
        <v>4</v>
      </c>
      <c r="AO153">
        <v>4</v>
      </c>
      <c r="AP153">
        <v>4</v>
      </c>
      <c r="AQ153">
        <v>3</v>
      </c>
      <c r="AR153">
        <v>5</v>
      </c>
      <c r="AS153">
        <v>5</v>
      </c>
      <c r="AT153">
        <v>6</v>
      </c>
      <c r="AU153" t="s">
        <v>99</v>
      </c>
      <c r="AV153">
        <v>13</v>
      </c>
      <c r="AW153">
        <v>14</v>
      </c>
    </row>
    <row r="154" spans="16:49" x14ac:dyDescent="0.25">
      <c r="P154">
        <v>153</v>
      </c>
      <c r="Q154" t="s">
        <v>68</v>
      </c>
      <c r="R154" t="s">
        <v>69</v>
      </c>
      <c r="S154">
        <v>15</v>
      </c>
      <c r="T154" t="s">
        <v>107</v>
      </c>
      <c r="U154" t="s">
        <v>71</v>
      </c>
      <c r="V154" t="s">
        <v>83</v>
      </c>
      <c r="W154" t="s">
        <v>95</v>
      </c>
      <c r="X154" t="s">
        <v>95</v>
      </c>
      <c r="Y154" t="s">
        <v>91</v>
      </c>
      <c r="Z154" t="s">
        <v>91</v>
      </c>
      <c r="AA154" t="s">
        <v>98</v>
      </c>
      <c r="AB154" t="s">
        <v>85</v>
      </c>
      <c r="AC154" t="s">
        <v>78</v>
      </c>
      <c r="AD154" t="s">
        <v>93</v>
      </c>
      <c r="AE154">
        <v>2</v>
      </c>
      <c r="AF154" t="s">
        <v>81</v>
      </c>
      <c r="AG154" t="s">
        <v>80</v>
      </c>
      <c r="AH154" t="s">
        <v>80</v>
      </c>
      <c r="AI154" t="s">
        <v>80</v>
      </c>
      <c r="AJ154" t="s">
        <v>80</v>
      </c>
      <c r="AK154" t="s">
        <v>80</v>
      </c>
      <c r="AL154" t="s">
        <v>80</v>
      </c>
      <c r="AM154" t="s">
        <v>80</v>
      </c>
      <c r="AN154">
        <v>4</v>
      </c>
      <c r="AO154">
        <v>2</v>
      </c>
      <c r="AP154">
        <v>1</v>
      </c>
      <c r="AQ154">
        <v>2</v>
      </c>
      <c r="AR154">
        <v>3</v>
      </c>
      <c r="AS154">
        <v>3</v>
      </c>
      <c r="AT154">
        <v>8</v>
      </c>
      <c r="AU154" t="s">
        <v>102</v>
      </c>
      <c r="AV154">
        <v>10</v>
      </c>
      <c r="AW154">
        <v>10</v>
      </c>
    </row>
    <row r="155" spans="16:49" x14ac:dyDescent="0.25">
      <c r="P155">
        <v>154</v>
      </c>
      <c r="Q155" t="s">
        <v>68</v>
      </c>
      <c r="R155" t="s">
        <v>97</v>
      </c>
      <c r="S155">
        <v>19</v>
      </c>
      <c r="T155" t="s">
        <v>70</v>
      </c>
      <c r="U155" t="s">
        <v>71</v>
      </c>
      <c r="V155" t="s">
        <v>83</v>
      </c>
      <c r="W155" t="s">
        <v>95</v>
      </c>
      <c r="X155" t="s">
        <v>90</v>
      </c>
      <c r="Y155" t="s">
        <v>91</v>
      </c>
      <c r="Z155" t="s">
        <v>74</v>
      </c>
      <c r="AA155" t="s">
        <v>92</v>
      </c>
      <c r="AB155" t="s">
        <v>77</v>
      </c>
      <c r="AC155" t="s">
        <v>87</v>
      </c>
      <c r="AD155" t="s">
        <v>104</v>
      </c>
      <c r="AE155">
        <v>3</v>
      </c>
      <c r="AF155" t="s">
        <v>81</v>
      </c>
      <c r="AG155" t="s">
        <v>80</v>
      </c>
      <c r="AH155" t="s">
        <v>81</v>
      </c>
      <c r="AI155" t="s">
        <v>81</v>
      </c>
      <c r="AJ155" t="s">
        <v>80</v>
      </c>
      <c r="AK155" t="s">
        <v>81</v>
      </c>
      <c r="AL155" t="s">
        <v>80</v>
      </c>
      <c r="AM155" t="s">
        <v>80</v>
      </c>
      <c r="AN155">
        <v>4</v>
      </c>
      <c r="AO155">
        <v>5</v>
      </c>
      <c r="AP155">
        <v>4</v>
      </c>
      <c r="AQ155">
        <v>1</v>
      </c>
      <c r="AR155">
        <v>1</v>
      </c>
      <c r="AS155">
        <v>4</v>
      </c>
      <c r="AT155">
        <v>0</v>
      </c>
      <c r="AU155" t="s">
        <v>82</v>
      </c>
      <c r="AV155">
        <v>0</v>
      </c>
      <c r="AW155">
        <v>0</v>
      </c>
    </row>
    <row r="156" spans="16:49" x14ac:dyDescent="0.25">
      <c r="P156">
        <v>155</v>
      </c>
      <c r="Q156" t="s">
        <v>68</v>
      </c>
      <c r="R156" t="s">
        <v>69</v>
      </c>
      <c r="S156">
        <v>17</v>
      </c>
      <c r="T156" t="s">
        <v>70</v>
      </c>
      <c r="U156" t="s">
        <v>71</v>
      </c>
      <c r="V156" t="s">
        <v>83</v>
      </c>
      <c r="W156" t="s">
        <v>73</v>
      </c>
      <c r="X156" t="s">
        <v>73</v>
      </c>
      <c r="Y156" t="s">
        <v>85</v>
      </c>
      <c r="Z156" t="s">
        <v>75</v>
      </c>
      <c r="AA156" t="s">
        <v>76</v>
      </c>
      <c r="AB156" t="s">
        <v>77</v>
      </c>
      <c r="AC156" t="s">
        <v>87</v>
      </c>
      <c r="AD156" t="s">
        <v>104</v>
      </c>
      <c r="AE156">
        <v>0</v>
      </c>
      <c r="AF156" t="s">
        <v>80</v>
      </c>
      <c r="AG156" t="s">
        <v>80</v>
      </c>
      <c r="AH156" t="s">
        <v>81</v>
      </c>
      <c r="AI156" t="s">
        <v>81</v>
      </c>
      <c r="AJ156" t="s">
        <v>80</v>
      </c>
      <c r="AK156" t="s">
        <v>80</v>
      </c>
      <c r="AL156" t="s">
        <v>81</v>
      </c>
      <c r="AM156" t="s">
        <v>80</v>
      </c>
      <c r="AN156">
        <v>4</v>
      </c>
      <c r="AO156">
        <v>2</v>
      </c>
      <c r="AP156">
        <v>1</v>
      </c>
      <c r="AQ156">
        <v>1</v>
      </c>
      <c r="AR156">
        <v>1</v>
      </c>
      <c r="AS156">
        <v>4</v>
      </c>
      <c r="AT156">
        <v>0</v>
      </c>
      <c r="AU156" t="s">
        <v>108</v>
      </c>
      <c r="AV156">
        <v>11</v>
      </c>
      <c r="AW156">
        <v>12</v>
      </c>
    </row>
    <row r="157" spans="16:49" x14ac:dyDescent="0.25">
      <c r="P157">
        <v>156</v>
      </c>
      <c r="Q157" t="s">
        <v>68</v>
      </c>
      <c r="R157" t="s">
        <v>97</v>
      </c>
      <c r="S157">
        <v>15</v>
      </c>
      <c r="T157" t="s">
        <v>107</v>
      </c>
      <c r="U157" t="s">
        <v>71</v>
      </c>
      <c r="V157" t="s">
        <v>83</v>
      </c>
      <c r="W157" t="s">
        <v>90</v>
      </c>
      <c r="X157" t="s">
        <v>95</v>
      </c>
      <c r="Y157" t="s">
        <v>74</v>
      </c>
      <c r="Z157" t="s">
        <v>91</v>
      </c>
      <c r="AA157" t="s">
        <v>76</v>
      </c>
      <c r="AB157" t="s">
        <v>77</v>
      </c>
      <c r="AC157" t="s">
        <v>87</v>
      </c>
      <c r="AD157" t="s">
        <v>79</v>
      </c>
      <c r="AE157">
        <v>0</v>
      </c>
      <c r="AF157" t="s">
        <v>80</v>
      </c>
      <c r="AG157" t="s">
        <v>81</v>
      </c>
      <c r="AH157" t="s">
        <v>80</v>
      </c>
      <c r="AI157" t="s">
        <v>80</v>
      </c>
      <c r="AJ157" t="s">
        <v>80</v>
      </c>
      <c r="AK157" t="s">
        <v>80</v>
      </c>
      <c r="AL157" t="s">
        <v>81</v>
      </c>
      <c r="AM157" t="s">
        <v>81</v>
      </c>
      <c r="AN157">
        <v>4</v>
      </c>
      <c r="AO157">
        <v>4</v>
      </c>
      <c r="AP157">
        <v>4</v>
      </c>
      <c r="AQ157">
        <v>1</v>
      </c>
      <c r="AR157">
        <v>1</v>
      </c>
      <c r="AS157">
        <v>1</v>
      </c>
      <c r="AT157">
        <v>2</v>
      </c>
      <c r="AU157" t="s">
        <v>108</v>
      </c>
      <c r="AV157">
        <v>8</v>
      </c>
      <c r="AW157">
        <v>8</v>
      </c>
    </row>
    <row r="158" spans="16:49" x14ac:dyDescent="0.25">
      <c r="P158">
        <v>157</v>
      </c>
      <c r="Q158" t="s">
        <v>68</v>
      </c>
      <c r="R158" t="s">
        <v>97</v>
      </c>
      <c r="S158">
        <v>17</v>
      </c>
      <c r="T158" t="s">
        <v>107</v>
      </c>
      <c r="U158" t="s">
        <v>88</v>
      </c>
      <c r="V158" t="s">
        <v>83</v>
      </c>
      <c r="W158" t="s">
        <v>84</v>
      </c>
      <c r="X158" t="s">
        <v>90</v>
      </c>
      <c r="Y158" t="s">
        <v>85</v>
      </c>
      <c r="Z158" t="s">
        <v>85</v>
      </c>
      <c r="AA158" t="s">
        <v>98</v>
      </c>
      <c r="AB158" t="s">
        <v>77</v>
      </c>
      <c r="AC158" t="s">
        <v>87</v>
      </c>
      <c r="AD158" t="s">
        <v>104</v>
      </c>
      <c r="AE158">
        <v>0</v>
      </c>
      <c r="AF158" t="s">
        <v>81</v>
      </c>
      <c r="AG158" t="s">
        <v>81</v>
      </c>
      <c r="AH158" t="s">
        <v>81</v>
      </c>
      <c r="AI158" t="s">
        <v>81</v>
      </c>
      <c r="AJ158" t="s">
        <v>80</v>
      </c>
      <c r="AK158" t="s">
        <v>80</v>
      </c>
      <c r="AL158" t="s">
        <v>81</v>
      </c>
      <c r="AM158" t="s">
        <v>81</v>
      </c>
      <c r="AN158">
        <v>2</v>
      </c>
      <c r="AO158">
        <v>2</v>
      </c>
      <c r="AP158">
        <v>2</v>
      </c>
      <c r="AQ158">
        <v>3</v>
      </c>
      <c r="AR158">
        <v>3</v>
      </c>
      <c r="AS158">
        <v>5</v>
      </c>
      <c r="AT158">
        <v>8</v>
      </c>
      <c r="AU158" t="s">
        <v>100</v>
      </c>
      <c r="AV158">
        <v>12</v>
      </c>
      <c r="AW158">
        <v>13</v>
      </c>
    </row>
    <row r="159" spans="16:49" x14ac:dyDescent="0.25">
      <c r="P159">
        <v>158</v>
      </c>
      <c r="Q159" t="s">
        <v>68</v>
      </c>
      <c r="R159" t="s">
        <v>69</v>
      </c>
      <c r="S159">
        <v>18</v>
      </c>
      <c r="T159" t="s">
        <v>107</v>
      </c>
      <c r="U159" t="s">
        <v>71</v>
      </c>
      <c r="V159" t="s">
        <v>83</v>
      </c>
      <c r="W159" t="s">
        <v>84</v>
      </c>
      <c r="X159" t="s">
        <v>84</v>
      </c>
      <c r="Y159" t="s">
        <v>74</v>
      </c>
      <c r="Z159" t="s">
        <v>85</v>
      </c>
      <c r="AA159" t="s">
        <v>76</v>
      </c>
      <c r="AB159" t="s">
        <v>77</v>
      </c>
      <c r="AC159" t="s">
        <v>103</v>
      </c>
      <c r="AD159" t="s">
        <v>104</v>
      </c>
      <c r="AE159">
        <v>3</v>
      </c>
      <c r="AF159" t="s">
        <v>81</v>
      </c>
      <c r="AG159" t="s">
        <v>80</v>
      </c>
      <c r="AH159" t="s">
        <v>81</v>
      </c>
      <c r="AI159" t="s">
        <v>80</v>
      </c>
      <c r="AJ159" t="s">
        <v>81</v>
      </c>
      <c r="AK159" t="s">
        <v>80</v>
      </c>
      <c r="AL159" t="s">
        <v>81</v>
      </c>
      <c r="AM159" t="s">
        <v>81</v>
      </c>
      <c r="AN159">
        <v>5</v>
      </c>
      <c r="AO159">
        <v>2</v>
      </c>
      <c r="AP159">
        <v>5</v>
      </c>
      <c r="AQ159">
        <v>1</v>
      </c>
      <c r="AR159">
        <v>5</v>
      </c>
      <c r="AS159">
        <v>4</v>
      </c>
      <c r="AT159">
        <v>6</v>
      </c>
      <c r="AU159" t="s">
        <v>109</v>
      </c>
      <c r="AV159">
        <v>8</v>
      </c>
      <c r="AW159">
        <v>10</v>
      </c>
    </row>
    <row r="160" spans="16:49" x14ac:dyDescent="0.25">
      <c r="P160">
        <v>159</v>
      </c>
      <c r="Q160" t="s">
        <v>68</v>
      </c>
      <c r="R160" t="s">
        <v>97</v>
      </c>
      <c r="S160">
        <v>16</v>
      </c>
      <c r="T160" t="s">
        <v>107</v>
      </c>
      <c r="U160" t="s">
        <v>71</v>
      </c>
      <c r="V160" t="s">
        <v>83</v>
      </c>
      <c r="W160" t="s">
        <v>90</v>
      </c>
      <c r="X160" t="s">
        <v>90</v>
      </c>
      <c r="Y160" t="s">
        <v>74</v>
      </c>
      <c r="Z160" t="s">
        <v>85</v>
      </c>
      <c r="AA160" t="s">
        <v>76</v>
      </c>
      <c r="AB160" t="s">
        <v>77</v>
      </c>
      <c r="AC160" t="s">
        <v>103</v>
      </c>
      <c r="AD160" t="s">
        <v>104</v>
      </c>
      <c r="AE160">
        <v>0</v>
      </c>
      <c r="AF160" t="s">
        <v>81</v>
      </c>
      <c r="AG160" t="s">
        <v>81</v>
      </c>
      <c r="AH160" t="s">
        <v>81</v>
      </c>
      <c r="AI160" t="s">
        <v>81</v>
      </c>
      <c r="AJ160" t="s">
        <v>81</v>
      </c>
      <c r="AK160" t="s">
        <v>80</v>
      </c>
      <c r="AL160" t="s">
        <v>81</v>
      </c>
      <c r="AM160" t="s">
        <v>81</v>
      </c>
      <c r="AN160">
        <v>4</v>
      </c>
      <c r="AO160">
        <v>2</v>
      </c>
      <c r="AP160">
        <v>2</v>
      </c>
      <c r="AQ160">
        <v>1</v>
      </c>
      <c r="AR160">
        <v>2</v>
      </c>
      <c r="AS160">
        <v>3</v>
      </c>
      <c r="AT160">
        <v>2</v>
      </c>
      <c r="AU160" t="s">
        <v>110</v>
      </c>
      <c r="AV160">
        <v>15</v>
      </c>
      <c r="AW160">
        <v>15</v>
      </c>
    </row>
    <row r="161" spans="16:49" x14ac:dyDescent="0.25">
      <c r="P161">
        <v>160</v>
      </c>
      <c r="Q161" t="s">
        <v>68</v>
      </c>
      <c r="R161" t="s">
        <v>97</v>
      </c>
      <c r="S161">
        <v>16</v>
      </c>
      <c r="T161" t="s">
        <v>70</v>
      </c>
      <c r="U161" t="s">
        <v>71</v>
      </c>
      <c r="V161" t="s">
        <v>83</v>
      </c>
      <c r="W161" t="s">
        <v>95</v>
      </c>
      <c r="X161" t="s">
        <v>95</v>
      </c>
      <c r="Y161" t="s">
        <v>85</v>
      </c>
      <c r="Z161" t="s">
        <v>91</v>
      </c>
      <c r="AA161" t="s">
        <v>76</v>
      </c>
      <c r="AB161" t="s">
        <v>86</v>
      </c>
      <c r="AC161" t="s">
        <v>87</v>
      </c>
      <c r="AD161" t="s">
        <v>79</v>
      </c>
      <c r="AE161">
        <v>1</v>
      </c>
      <c r="AF161" t="s">
        <v>81</v>
      </c>
      <c r="AG161" t="s">
        <v>80</v>
      </c>
      <c r="AH161" t="s">
        <v>80</v>
      </c>
      <c r="AI161" t="s">
        <v>81</v>
      </c>
      <c r="AJ161" t="s">
        <v>80</v>
      </c>
      <c r="AK161" t="s">
        <v>80</v>
      </c>
      <c r="AL161" t="s">
        <v>80</v>
      </c>
      <c r="AM161" t="s">
        <v>80</v>
      </c>
      <c r="AN161">
        <v>4</v>
      </c>
      <c r="AO161">
        <v>5</v>
      </c>
      <c r="AP161">
        <v>5</v>
      </c>
      <c r="AQ161">
        <v>4</v>
      </c>
      <c r="AR161">
        <v>4</v>
      </c>
      <c r="AS161">
        <v>5</v>
      </c>
      <c r="AT161">
        <v>4</v>
      </c>
      <c r="AU161" t="s">
        <v>102</v>
      </c>
      <c r="AV161">
        <v>12</v>
      </c>
      <c r="AW161">
        <v>12</v>
      </c>
    </row>
    <row r="162" spans="16:49" x14ac:dyDescent="0.25">
      <c r="P162">
        <v>161</v>
      </c>
      <c r="Q162" t="s">
        <v>68</v>
      </c>
      <c r="R162" t="s">
        <v>97</v>
      </c>
      <c r="S162">
        <v>17</v>
      </c>
      <c r="T162" t="s">
        <v>107</v>
      </c>
      <c r="U162" t="s">
        <v>88</v>
      </c>
      <c r="V162" t="s">
        <v>83</v>
      </c>
      <c r="W162" t="s">
        <v>90</v>
      </c>
      <c r="X162" t="s">
        <v>84</v>
      </c>
      <c r="Y162" t="s">
        <v>74</v>
      </c>
      <c r="Z162" t="s">
        <v>85</v>
      </c>
      <c r="AA162" t="s">
        <v>76</v>
      </c>
      <c r="AB162" t="s">
        <v>77</v>
      </c>
      <c r="AC162" t="s">
        <v>78</v>
      </c>
      <c r="AD162" t="s">
        <v>104</v>
      </c>
      <c r="AE162">
        <v>2</v>
      </c>
      <c r="AF162" t="s">
        <v>81</v>
      </c>
      <c r="AG162" t="s">
        <v>81</v>
      </c>
      <c r="AH162" t="s">
        <v>81</v>
      </c>
      <c r="AI162" t="s">
        <v>80</v>
      </c>
      <c r="AJ162" t="s">
        <v>80</v>
      </c>
      <c r="AK162" t="s">
        <v>81</v>
      </c>
      <c r="AL162" t="s">
        <v>80</v>
      </c>
      <c r="AM162" t="s">
        <v>80</v>
      </c>
      <c r="AN162">
        <v>3</v>
      </c>
      <c r="AO162">
        <v>3</v>
      </c>
      <c r="AP162">
        <v>2</v>
      </c>
      <c r="AQ162">
        <v>2</v>
      </c>
      <c r="AR162">
        <v>2</v>
      </c>
      <c r="AS162">
        <v>5</v>
      </c>
      <c r="AT162">
        <v>0</v>
      </c>
      <c r="AU162" t="s">
        <v>89</v>
      </c>
      <c r="AV162">
        <v>6</v>
      </c>
      <c r="AW162">
        <v>0</v>
      </c>
    </row>
    <row r="163" spans="16:49" x14ac:dyDescent="0.25">
      <c r="P163">
        <v>162</v>
      </c>
      <c r="Q163" t="s">
        <v>68</v>
      </c>
      <c r="R163" t="s">
        <v>97</v>
      </c>
      <c r="S163">
        <v>15</v>
      </c>
      <c r="T163" t="s">
        <v>107</v>
      </c>
      <c r="U163" t="s">
        <v>71</v>
      </c>
      <c r="V163" t="s">
        <v>83</v>
      </c>
      <c r="W163" t="s">
        <v>95</v>
      </c>
      <c r="X163" t="s">
        <v>90</v>
      </c>
      <c r="Y163" t="s">
        <v>85</v>
      </c>
      <c r="Z163" t="s">
        <v>85</v>
      </c>
      <c r="AA163" t="s">
        <v>76</v>
      </c>
      <c r="AB163" t="s">
        <v>77</v>
      </c>
      <c r="AC163" t="s">
        <v>78</v>
      </c>
      <c r="AD163" t="s">
        <v>79</v>
      </c>
      <c r="AE163">
        <v>2</v>
      </c>
      <c r="AF163" t="s">
        <v>80</v>
      </c>
      <c r="AG163" t="s">
        <v>80</v>
      </c>
      <c r="AH163" t="s">
        <v>81</v>
      </c>
      <c r="AI163" t="s">
        <v>81</v>
      </c>
      <c r="AJ163" t="s">
        <v>80</v>
      </c>
      <c r="AK163" t="s">
        <v>80</v>
      </c>
      <c r="AL163" t="s">
        <v>80</v>
      </c>
      <c r="AM163" t="s">
        <v>80</v>
      </c>
      <c r="AN163">
        <v>4</v>
      </c>
      <c r="AO163">
        <v>4</v>
      </c>
      <c r="AP163">
        <v>4</v>
      </c>
      <c r="AQ163">
        <v>1</v>
      </c>
      <c r="AR163">
        <v>4</v>
      </c>
      <c r="AS163">
        <v>3</v>
      </c>
      <c r="AT163">
        <v>6</v>
      </c>
      <c r="AU163" t="s">
        <v>82</v>
      </c>
      <c r="AV163">
        <v>9</v>
      </c>
      <c r="AW163">
        <v>7</v>
      </c>
    </row>
    <row r="164" spans="16:49" x14ac:dyDescent="0.25">
      <c r="P164">
        <v>163</v>
      </c>
      <c r="Q164" t="s">
        <v>68</v>
      </c>
      <c r="R164" t="s">
        <v>97</v>
      </c>
      <c r="S164">
        <v>16</v>
      </c>
      <c r="T164" t="s">
        <v>70</v>
      </c>
      <c r="U164" t="s">
        <v>88</v>
      </c>
      <c r="V164" t="s">
        <v>83</v>
      </c>
      <c r="W164" t="s">
        <v>84</v>
      </c>
      <c r="X164" t="s">
        <v>90</v>
      </c>
      <c r="Y164" t="s">
        <v>85</v>
      </c>
      <c r="Z164" t="s">
        <v>85</v>
      </c>
      <c r="AA164" t="s">
        <v>76</v>
      </c>
      <c r="AB164" t="s">
        <v>77</v>
      </c>
      <c r="AC164" t="s">
        <v>78</v>
      </c>
      <c r="AD164" t="s">
        <v>104</v>
      </c>
      <c r="AE164">
        <v>1</v>
      </c>
      <c r="AF164" t="s">
        <v>81</v>
      </c>
      <c r="AG164" t="s">
        <v>81</v>
      </c>
      <c r="AH164" t="s">
        <v>81</v>
      </c>
      <c r="AI164" t="s">
        <v>80</v>
      </c>
      <c r="AJ164" t="s">
        <v>80</v>
      </c>
      <c r="AK164" t="s">
        <v>80</v>
      </c>
      <c r="AL164" t="s">
        <v>81</v>
      </c>
      <c r="AM164" t="s">
        <v>81</v>
      </c>
      <c r="AN164">
        <v>4</v>
      </c>
      <c r="AO164">
        <v>4</v>
      </c>
      <c r="AP164">
        <v>4</v>
      </c>
      <c r="AQ164">
        <v>2</v>
      </c>
      <c r="AR164">
        <v>4</v>
      </c>
      <c r="AS164">
        <v>5</v>
      </c>
      <c r="AT164">
        <v>0</v>
      </c>
      <c r="AU164" t="s">
        <v>89</v>
      </c>
      <c r="AV164">
        <v>0</v>
      </c>
      <c r="AW164">
        <v>0</v>
      </c>
    </row>
    <row r="165" spans="16:49" x14ac:dyDescent="0.25">
      <c r="P165">
        <v>164</v>
      </c>
      <c r="Q165" t="s">
        <v>68</v>
      </c>
      <c r="R165" t="s">
        <v>97</v>
      </c>
      <c r="S165">
        <v>17</v>
      </c>
      <c r="T165" t="s">
        <v>70</v>
      </c>
      <c r="U165" t="s">
        <v>71</v>
      </c>
      <c r="V165" t="s">
        <v>83</v>
      </c>
      <c r="W165" t="s">
        <v>84</v>
      </c>
      <c r="X165" t="s">
        <v>95</v>
      </c>
      <c r="Y165" t="s">
        <v>74</v>
      </c>
      <c r="Z165" t="s">
        <v>91</v>
      </c>
      <c r="AA165" t="s">
        <v>76</v>
      </c>
      <c r="AB165" t="s">
        <v>86</v>
      </c>
      <c r="AC165" t="s">
        <v>87</v>
      </c>
      <c r="AD165" t="s">
        <v>104</v>
      </c>
      <c r="AE165">
        <v>0</v>
      </c>
      <c r="AF165" t="s">
        <v>81</v>
      </c>
      <c r="AG165" t="s">
        <v>81</v>
      </c>
      <c r="AH165" t="s">
        <v>81</v>
      </c>
      <c r="AI165" t="s">
        <v>81</v>
      </c>
      <c r="AJ165" t="s">
        <v>80</v>
      </c>
      <c r="AK165" t="s">
        <v>81</v>
      </c>
      <c r="AL165" t="s">
        <v>80</v>
      </c>
      <c r="AM165" t="s">
        <v>81</v>
      </c>
      <c r="AN165">
        <v>5</v>
      </c>
      <c r="AO165">
        <v>3</v>
      </c>
      <c r="AP165">
        <v>3</v>
      </c>
      <c r="AQ165">
        <v>1</v>
      </c>
      <c r="AR165">
        <v>4</v>
      </c>
      <c r="AS165">
        <v>2</v>
      </c>
      <c r="AT165">
        <v>2</v>
      </c>
      <c r="AU165" t="s">
        <v>102</v>
      </c>
      <c r="AV165">
        <v>10</v>
      </c>
      <c r="AW165">
        <v>10</v>
      </c>
    </row>
    <row r="166" spans="16:49" x14ac:dyDescent="0.25">
      <c r="P166">
        <v>165</v>
      </c>
      <c r="Q166" t="s">
        <v>68</v>
      </c>
      <c r="R166" t="s">
        <v>97</v>
      </c>
      <c r="S166">
        <v>17</v>
      </c>
      <c r="T166" t="s">
        <v>107</v>
      </c>
      <c r="U166" t="s">
        <v>88</v>
      </c>
      <c r="V166" t="s">
        <v>83</v>
      </c>
      <c r="W166" t="s">
        <v>84</v>
      </c>
      <c r="X166" t="s">
        <v>84</v>
      </c>
      <c r="Y166" t="s">
        <v>85</v>
      </c>
      <c r="Z166" t="s">
        <v>91</v>
      </c>
      <c r="AA166" t="s">
        <v>76</v>
      </c>
      <c r="AB166" t="s">
        <v>77</v>
      </c>
      <c r="AC166" t="s">
        <v>113</v>
      </c>
      <c r="AD166" t="s">
        <v>79</v>
      </c>
      <c r="AE166">
        <v>3</v>
      </c>
      <c r="AF166" t="s">
        <v>81</v>
      </c>
      <c r="AG166" t="s">
        <v>81</v>
      </c>
      <c r="AH166" t="s">
        <v>81</v>
      </c>
      <c r="AI166" t="s">
        <v>80</v>
      </c>
      <c r="AJ166" t="s">
        <v>80</v>
      </c>
      <c r="AK166" t="s">
        <v>81</v>
      </c>
      <c r="AL166" t="s">
        <v>81</v>
      </c>
      <c r="AM166" t="s">
        <v>80</v>
      </c>
      <c r="AN166">
        <v>5</v>
      </c>
      <c r="AO166">
        <v>3</v>
      </c>
      <c r="AP166">
        <v>5</v>
      </c>
      <c r="AQ166">
        <v>1</v>
      </c>
      <c r="AR166">
        <v>5</v>
      </c>
      <c r="AS166">
        <v>5</v>
      </c>
      <c r="AT166">
        <v>0</v>
      </c>
      <c r="AU166" t="s">
        <v>82</v>
      </c>
      <c r="AV166">
        <v>8</v>
      </c>
      <c r="AW166">
        <v>7</v>
      </c>
    </row>
    <row r="167" spans="16:49" x14ac:dyDescent="0.25">
      <c r="P167">
        <v>166</v>
      </c>
      <c r="Q167" t="s">
        <v>68</v>
      </c>
      <c r="R167" t="s">
        <v>97</v>
      </c>
      <c r="S167">
        <v>16</v>
      </c>
      <c r="T167" t="s">
        <v>70</v>
      </c>
      <c r="U167" t="s">
        <v>71</v>
      </c>
      <c r="V167" t="s">
        <v>83</v>
      </c>
      <c r="W167" t="s">
        <v>95</v>
      </c>
      <c r="X167" t="s">
        <v>90</v>
      </c>
      <c r="Y167" t="s">
        <v>91</v>
      </c>
      <c r="Z167" t="s">
        <v>91</v>
      </c>
      <c r="AA167" t="s">
        <v>76</v>
      </c>
      <c r="AB167" t="s">
        <v>77</v>
      </c>
      <c r="AC167" t="s">
        <v>78</v>
      </c>
      <c r="AD167" t="s">
        <v>104</v>
      </c>
      <c r="AE167">
        <v>1</v>
      </c>
      <c r="AF167" t="s">
        <v>81</v>
      </c>
      <c r="AG167" t="s">
        <v>80</v>
      </c>
      <c r="AH167" t="s">
        <v>81</v>
      </c>
      <c r="AI167" t="s">
        <v>80</v>
      </c>
      <c r="AJ167" t="s">
        <v>81</v>
      </c>
      <c r="AK167" t="s">
        <v>81</v>
      </c>
      <c r="AL167" t="s">
        <v>81</v>
      </c>
      <c r="AM167" t="s">
        <v>81</v>
      </c>
      <c r="AN167">
        <v>4</v>
      </c>
      <c r="AO167">
        <v>5</v>
      </c>
      <c r="AP167">
        <v>2</v>
      </c>
      <c r="AQ167">
        <v>1</v>
      </c>
      <c r="AR167">
        <v>1</v>
      </c>
      <c r="AS167">
        <v>2</v>
      </c>
      <c r="AT167">
        <v>16</v>
      </c>
      <c r="AU167" t="s">
        <v>99</v>
      </c>
      <c r="AV167">
        <v>11</v>
      </c>
      <c r="AW167">
        <v>12</v>
      </c>
    </row>
    <row r="168" spans="16:49" x14ac:dyDescent="0.25">
      <c r="P168">
        <v>167</v>
      </c>
      <c r="Q168" t="s">
        <v>68</v>
      </c>
      <c r="R168" t="s">
        <v>97</v>
      </c>
      <c r="S168">
        <v>16</v>
      </c>
      <c r="T168" t="s">
        <v>70</v>
      </c>
      <c r="U168" t="s">
        <v>71</v>
      </c>
      <c r="V168" t="s">
        <v>83</v>
      </c>
      <c r="W168" t="s">
        <v>90</v>
      </c>
      <c r="X168" t="s">
        <v>90</v>
      </c>
      <c r="Y168" t="s">
        <v>85</v>
      </c>
      <c r="Z168" t="s">
        <v>85</v>
      </c>
      <c r="AA168" t="s">
        <v>76</v>
      </c>
      <c r="AB168" t="s">
        <v>86</v>
      </c>
      <c r="AC168" t="s">
        <v>87</v>
      </c>
      <c r="AD168" t="s">
        <v>79</v>
      </c>
      <c r="AE168">
        <v>0</v>
      </c>
      <c r="AF168" t="s">
        <v>81</v>
      </c>
      <c r="AG168" t="s">
        <v>81</v>
      </c>
      <c r="AH168" t="s">
        <v>81</v>
      </c>
      <c r="AI168" t="s">
        <v>81</v>
      </c>
      <c r="AJ168" t="s">
        <v>80</v>
      </c>
      <c r="AK168" t="s">
        <v>81</v>
      </c>
      <c r="AL168" t="s">
        <v>80</v>
      </c>
      <c r="AM168" t="s">
        <v>81</v>
      </c>
      <c r="AN168">
        <v>4</v>
      </c>
      <c r="AO168">
        <v>3</v>
      </c>
      <c r="AP168">
        <v>5</v>
      </c>
      <c r="AQ168">
        <v>2</v>
      </c>
      <c r="AR168">
        <v>4</v>
      </c>
      <c r="AS168">
        <v>4</v>
      </c>
      <c r="AT168">
        <v>4</v>
      </c>
      <c r="AU168" t="s">
        <v>102</v>
      </c>
      <c r="AV168">
        <v>10</v>
      </c>
      <c r="AW168">
        <v>10</v>
      </c>
    </row>
    <row r="169" spans="16:49" x14ac:dyDescent="0.25">
      <c r="P169">
        <v>168</v>
      </c>
      <c r="Q169" t="s">
        <v>68</v>
      </c>
      <c r="R169" t="s">
        <v>69</v>
      </c>
      <c r="S169">
        <v>16</v>
      </c>
      <c r="T169" t="s">
        <v>70</v>
      </c>
      <c r="U169" t="s">
        <v>71</v>
      </c>
      <c r="V169" t="s">
        <v>83</v>
      </c>
      <c r="W169" t="s">
        <v>73</v>
      </c>
      <c r="X169" t="s">
        <v>90</v>
      </c>
      <c r="Y169" t="s">
        <v>63</v>
      </c>
      <c r="Z169" t="s">
        <v>91</v>
      </c>
      <c r="AA169" t="s">
        <v>92</v>
      </c>
      <c r="AB169" t="s">
        <v>86</v>
      </c>
      <c r="AC169" t="s">
        <v>87</v>
      </c>
      <c r="AD169" t="s">
        <v>79</v>
      </c>
      <c r="AE169">
        <v>0</v>
      </c>
      <c r="AF169" t="s">
        <v>81</v>
      </c>
      <c r="AG169" t="s">
        <v>81</v>
      </c>
      <c r="AH169" t="s">
        <v>80</v>
      </c>
      <c r="AI169" t="s">
        <v>81</v>
      </c>
      <c r="AJ169" t="s">
        <v>80</v>
      </c>
      <c r="AK169" t="s">
        <v>80</v>
      </c>
      <c r="AL169" t="s">
        <v>80</v>
      </c>
      <c r="AM169" t="s">
        <v>80</v>
      </c>
      <c r="AN169">
        <v>4</v>
      </c>
      <c r="AO169">
        <v>2</v>
      </c>
      <c r="AP169">
        <v>3</v>
      </c>
      <c r="AQ169">
        <v>1</v>
      </c>
      <c r="AR169">
        <v>1</v>
      </c>
      <c r="AS169">
        <v>3</v>
      </c>
      <c r="AT169">
        <v>0</v>
      </c>
      <c r="AU169" t="s">
        <v>101</v>
      </c>
      <c r="AV169">
        <v>15</v>
      </c>
      <c r="AW169">
        <v>16</v>
      </c>
    </row>
    <row r="170" spans="16:49" x14ac:dyDescent="0.25">
      <c r="P170">
        <v>169</v>
      </c>
      <c r="Q170" t="s">
        <v>68</v>
      </c>
      <c r="R170" t="s">
        <v>69</v>
      </c>
      <c r="S170">
        <v>16</v>
      </c>
      <c r="T170" t="s">
        <v>70</v>
      </c>
      <c r="U170" t="s">
        <v>71</v>
      </c>
      <c r="V170" t="s">
        <v>83</v>
      </c>
      <c r="W170" t="s">
        <v>90</v>
      </c>
      <c r="X170" t="s">
        <v>90</v>
      </c>
      <c r="Y170" t="s">
        <v>85</v>
      </c>
      <c r="Z170" t="s">
        <v>85</v>
      </c>
      <c r="AA170" t="s">
        <v>92</v>
      </c>
      <c r="AB170" t="s">
        <v>77</v>
      </c>
      <c r="AC170" t="s">
        <v>87</v>
      </c>
      <c r="AD170" t="s">
        <v>79</v>
      </c>
      <c r="AE170">
        <v>0</v>
      </c>
      <c r="AF170" t="s">
        <v>81</v>
      </c>
      <c r="AG170" t="s">
        <v>80</v>
      </c>
      <c r="AH170" t="s">
        <v>80</v>
      </c>
      <c r="AI170" t="s">
        <v>81</v>
      </c>
      <c r="AJ170" t="s">
        <v>81</v>
      </c>
      <c r="AK170" t="s">
        <v>80</v>
      </c>
      <c r="AL170" t="s">
        <v>80</v>
      </c>
      <c r="AM170" t="s">
        <v>81</v>
      </c>
      <c r="AN170">
        <v>5</v>
      </c>
      <c r="AO170">
        <v>1</v>
      </c>
      <c r="AP170">
        <v>5</v>
      </c>
      <c r="AQ170">
        <v>1</v>
      </c>
      <c r="AR170">
        <v>1</v>
      </c>
      <c r="AS170">
        <v>4</v>
      </c>
      <c r="AT170">
        <v>0</v>
      </c>
      <c r="AU170" t="s">
        <v>96</v>
      </c>
      <c r="AV170">
        <v>7</v>
      </c>
      <c r="AW170">
        <v>0</v>
      </c>
    </row>
    <row r="171" spans="16:49" x14ac:dyDescent="0.25">
      <c r="P171">
        <v>170</v>
      </c>
      <c r="Q171" t="s">
        <v>68</v>
      </c>
      <c r="R171" t="s">
        <v>69</v>
      </c>
      <c r="S171">
        <v>16</v>
      </c>
      <c r="T171" t="s">
        <v>70</v>
      </c>
      <c r="U171" t="s">
        <v>71</v>
      </c>
      <c r="V171" t="s">
        <v>83</v>
      </c>
      <c r="W171" t="s">
        <v>73</v>
      </c>
      <c r="X171" t="s">
        <v>73</v>
      </c>
      <c r="Y171" t="s">
        <v>63</v>
      </c>
      <c r="Z171" t="s">
        <v>63</v>
      </c>
      <c r="AA171" t="s">
        <v>98</v>
      </c>
      <c r="AB171" t="s">
        <v>77</v>
      </c>
      <c r="AC171" t="s">
        <v>87</v>
      </c>
      <c r="AD171" t="s">
        <v>79</v>
      </c>
      <c r="AE171">
        <v>0</v>
      </c>
      <c r="AF171" t="s">
        <v>81</v>
      </c>
      <c r="AG171" t="s">
        <v>80</v>
      </c>
      <c r="AH171" t="s">
        <v>80</v>
      </c>
      <c r="AI171" t="s">
        <v>81</v>
      </c>
      <c r="AJ171" t="s">
        <v>80</v>
      </c>
      <c r="AK171" t="s">
        <v>80</v>
      </c>
      <c r="AL171" t="s">
        <v>80</v>
      </c>
      <c r="AM171" t="s">
        <v>80</v>
      </c>
      <c r="AN171">
        <v>4</v>
      </c>
      <c r="AO171">
        <v>4</v>
      </c>
      <c r="AP171">
        <v>2</v>
      </c>
      <c r="AQ171">
        <v>1</v>
      </c>
      <c r="AR171">
        <v>1</v>
      </c>
      <c r="AS171">
        <v>3</v>
      </c>
      <c r="AT171">
        <v>0</v>
      </c>
      <c r="AU171" t="s">
        <v>101</v>
      </c>
      <c r="AV171">
        <v>14</v>
      </c>
      <c r="AW171">
        <v>14</v>
      </c>
    </row>
    <row r="172" spans="16:49" x14ac:dyDescent="0.25">
      <c r="P172">
        <v>171</v>
      </c>
      <c r="Q172" t="s">
        <v>68</v>
      </c>
      <c r="R172" t="s">
        <v>97</v>
      </c>
      <c r="S172">
        <v>16</v>
      </c>
      <c r="T172" t="s">
        <v>70</v>
      </c>
      <c r="U172" t="s">
        <v>71</v>
      </c>
      <c r="V172" t="s">
        <v>83</v>
      </c>
      <c r="W172" t="s">
        <v>95</v>
      </c>
      <c r="X172" t="s">
        <v>73</v>
      </c>
      <c r="Y172" t="s">
        <v>85</v>
      </c>
      <c r="Z172" t="s">
        <v>85</v>
      </c>
      <c r="AA172" t="s">
        <v>76</v>
      </c>
      <c r="AB172" t="s">
        <v>86</v>
      </c>
      <c r="AC172" t="s">
        <v>103</v>
      </c>
      <c r="AD172" t="s">
        <v>104</v>
      </c>
      <c r="AE172">
        <v>2</v>
      </c>
      <c r="AF172" t="s">
        <v>81</v>
      </c>
      <c r="AG172" t="s">
        <v>80</v>
      </c>
      <c r="AH172" t="s">
        <v>81</v>
      </c>
      <c r="AI172" t="s">
        <v>80</v>
      </c>
      <c r="AJ172" t="s">
        <v>81</v>
      </c>
      <c r="AK172" t="s">
        <v>80</v>
      </c>
      <c r="AL172" t="s">
        <v>80</v>
      </c>
      <c r="AM172" t="s">
        <v>81</v>
      </c>
      <c r="AN172">
        <v>3</v>
      </c>
      <c r="AO172">
        <v>4</v>
      </c>
      <c r="AP172">
        <v>5</v>
      </c>
      <c r="AQ172">
        <v>2</v>
      </c>
      <c r="AR172">
        <v>4</v>
      </c>
      <c r="AS172">
        <v>2</v>
      </c>
      <c r="AT172">
        <v>0</v>
      </c>
      <c r="AU172" t="s">
        <v>96</v>
      </c>
      <c r="AV172">
        <v>5</v>
      </c>
      <c r="AW172">
        <v>0</v>
      </c>
    </row>
    <row r="173" spans="16:49" x14ac:dyDescent="0.25">
      <c r="P173">
        <v>172</v>
      </c>
      <c r="Q173" t="s">
        <v>68</v>
      </c>
      <c r="R173" t="s">
        <v>97</v>
      </c>
      <c r="S173">
        <v>16</v>
      </c>
      <c r="T173" t="s">
        <v>70</v>
      </c>
      <c r="U173" t="s">
        <v>71</v>
      </c>
      <c r="V173" t="s">
        <v>83</v>
      </c>
      <c r="W173" t="s">
        <v>84</v>
      </c>
      <c r="X173" t="s">
        <v>114</v>
      </c>
      <c r="Y173" t="s">
        <v>85</v>
      </c>
      <c r="Z173" t="s">
        <v>85</v>
      </c>
      <c r="AA173" t="s">
        <v>98</v>
      </c>
      <c r="AB173" t="s">
        <v>77</v>
      </c>
      <c r="AC173" t="s">
        <v>78</v>
      </c>
      <c r="AD173" t="s">
        <v>79</v>
      </c>
      <c r="AE173">
        <v>0</v>
      </c>
      <c r="AF173" t="s">
        <v>81</v>
      </c>
      <c r="AG173" t="s">
        <v>80</v>
      </c>
      <c r="AH173" t="s">
        <v>80</v>
      </c>
      <c r="AI173" t="s">
        <v>80</v>
      </c>
      <c r="AJ173" t="s">
        <v>80</v>
      </c>
      <c r="AK173" t="s">
        <v>80</v>
      </c>
      <c r="AL173" t="s">
        <v>80</v>
      </c>
      <c r="AM173" t="s">
        <v>80</v>
      </c>
      <c r="AN173">
        <v>4</v>
      </c>
      <c r="AO173">
        <v>3</v>
      </c>
      <c r="AP173">
        <v>2</v>
      </c>
      <c r="AQ173">
        <v>1</v>
      </c>
      <c r="AR173">
        <v>1</v>
      </c>
      <c r="AS173">
        <v>3</v>
      </c>
      <c r="AT173">
        <v>2</v>
      </c>
      <c r="AU173" t="s">
        <v>105</v>
      </c>
      <c r="AV173">
        <v>15</v>
      </c>
      <c r="AW173">
        <v>16</v>
      </c>
    </row>
    <row r="174" spans="16:49" x14ac:dyDescent="0.25">
      <c r="P174">
        <v>173</v>
      </c>
      <c r="Q174" t="s">
        <v>68</v>
      </c>
      <c r="R174" t="s">
        <v>97</v>
      </c>
      <c r="S174">
        <v>17</v>
      </c>
      <c r="T174" t="s">
        <v>70</v>
      </c>
      <c r="U174" t="s">
        <v>88</v>
      </c>
      <c r="V174" t="s">
        <v>83</v>
      </c>
      <c r="W174" t="s">
        <v>73</v>
      </c>
      <c r="X174" t="s">
        <v>73</v>
      </c>
      <c r="Y174" t="s">
        <v>75</v>
      </c>
      <c r="Z174" t="s">
        <v>85</v>
      </c>
      <c r="AA174" t="s">
        <v>98</v>
      </c>
      <c r="AB174" t="s">
        <v>77</v>
      </c>
      <c r="AC174" t="s">
        <v>87</v>
      </c>
      <c r="AD174" t="s">
        <v>79</v>
      </c>
      <c r="AE174">
        <v>0</v>
      </c>
      <c r="AF174" t="s">
        <v>81</v>
      </c>
      <c r="AG174" t="s">
        <v>80</v>
      </c>
      <c r="AH174" t="s">
        <v>80</v>
      </c>
      <c r="AI174" t="s">
        <v>80</v>
      </c>
      <c r="AJ174" t="s">
        <v>80</v>
      </c>
      <c r="AK174" t="s">
        <v>80</v>
      </c>
      <c r="AL174" t="s">
        <v>80</v>
      </c>
      <c r="AM174" t="s">
        <v>81</v>
      </c>
      <c r="AN174">
        <v>4</v>
      </c>
      <c r="AO174">
        <v>4</v>
      </c>
      <c r="AP174">
        <v>4</v>
      </c>
      <c r="AQ174">
        <v>1</v>
      </c>
      <c r="AR174">
        <v>3</v>
      </c>
      <c r="AS174">
        <v>5</v>
      </c>
      <c r="AT174">
        <v>0</v>
      </c>
      <c r="AU174" t="s">
        <v>105</v>
      </c>
      <c r="AV174">
        <v>11</v>
      </c>
      <c r="AW174">
        <v>10</v>
      </c>
    </row>
    <row r="175" spans="16:49" x14ac:dyDescent="0.25">
      <c r="P175">
        <v>174</v>
      </c>
      <c r="Q175" t="s">
        <v>68</v>
      </c>
      <c r="R175" t="s">
        <v>69</v>
      </c>
      <c r="S175">
        <v>16</v>
      </c>
      <c r="T175" t="s">
        <v>70</v>
      </c>
      <c r="U175" t="s">
        <v>71</v>
      </c>
      <c r="V175" t="s">
        <v>83</v>
      </c>
      <c r="W175" t="s">
        <v>84</v>
      </c>
      <c r="X175" t="s">
        <v>95</v>
      </c>
      <c r="Y175" t="s">
        <v>74</v>
      </c>
      <c r="Z175" t="s">
        <v>91</v>
      </c>
      <c r="AA175" t="s">
        <v>92</v>
      </c>
      <c r="AB175" t="s">
        <v>77</v>
      </c>
      <c r="AC175" t="s">
        <v>87</v>
      </c>
      <c r="AD175" t="s">
        <v>79</v>
      </c>
      <c r="AE175">
        <v>3</v>
      </c>
      <c r="AF175" t="s">
        <v>81</v>
      </c>
      <c r="AG175" t="s">
        <v>81</v>
      </c>
      <c r="AH175" t="s">
        <v>81</v>
      </c>
      <c r="AI175" t="s">
        <v>80</v>
      </c>
      <c r="AJ175" t="s">
        <v>81</v>
      </c>
      <c r="AK175" t="s">
        <v>80</v>
      </c>
      <c r="AL175" t="s">
        <v>80</v>
      </c>
      <c r="AM175" t="s">
        <v>80</v>
      </c>
      <c r="AN175">
        <v>4</v>
      </c>
      <c r="AO175">
        <v>3</v>
      </c>
      <c r="AP175">
        <v>5</v>
      </c>
      <c r="AQ175">
        <v>1</v>
      </c>
      <c r="AR175">
        <v>1</v>
      </c>
      <c r="AS175">
        <v>3</v>
      </c>
      <c r="AT175">
        <v>0</v>
      </c>
      <c r="AU175" t="s">
        <v>106</v>
      </c>
      <c r="AV175">
        <v>7</v>
      </c>
      <c r="AW175">
        <v>0</v>
      </c>
    </row>
    <row r="176" spans="16:49" x14ac:dyDescent="0.25">
      <c r="P176">
        <v>175</v>
      </c>
      <c r="Q176" t="s">
        <v>68</v>
      </c>
      <c r="R176" t="s">
        <v>69</v>
      </c>
      <c r="S176">
        <v>16</v>
      </c>
      <c r="T176" t="s">
        <v>70</v>
      </c>
      <c r="U176" t="s">
        <v>88</v>
      </c>
      <c r="V176" t="s">
        <v>83</v>
      </c>
      <c r="W176" t="s">
        <v>95</v>
      </c>
      <c r="X176" t="s">
        <v>95</v>
      </c>
      <c r="Y176" t="s">
        <v>85</v>
      </c>
      <c r="Z176" t="s">
        <v>85</v>
      </c>
      <c r="AA176" t="s">
        <v>98</v>
      </c>
      <c r="AB176" t="s">
        <v>77</v>
      </c>
      <c r="AC176" t="s">
        <v>78</v>
      </c>
      <c r="AD176" t="s">
        <v>79</v>
      </c>
      <c r="AE176">
        <v>0</v>
      </c>
      <c r="AF176" t="s">
        <v>81</v>
      </c>
      <c r="AG176" t="s">
        <v>80</v>
      </c>
      <c r="AH176" t="s">
        <v>80</v>
      </c>
      <c r="AI176" t="s">
        <v>80</v>
      </c>
      <c r="AJ176" t="s">
        <v>80</v>
      </c>
      <c r="AK176" t="s">
        <v>80</v>
      </c>
      <c r="AL176" t="s">
        <v>80</v>
      </c>
      <c r="AM176" t="s">
        <v>81</v>
      </c>
      <c r="AN176">
        <v>4</v>
      </c>
      <c r="AO176">
        <v>4</v>
      </c>
      <c r="AP176">
        <v>5</v>
      </c>
      <c r="AQ176">
        <v>1</v>
      </c>
      <c r="AR176">
        <v>1</v>
      </c>
      <c r="AS176">
        <v>4</v>
      </c>
      <c r="AT176">
        <v>4</v>
      </c>
      <c r="AU176" t="s">
        <v>102</v>
      </c>
      <c r="AV176">
        <v>11</v>
      </c>
      <c r="AW176">
        <v>9</v>
      </c>
    </row>
    <row r="177" spans="16:49" x14ac:dyDescent="0.25">
      <c r="P177">
        <v>176</v>
      </c>
      <c r="Q177" t="s">
        <v>68</v>
      </c>
      <c r="R177" t="s">
        <v>97</v>
      </c>
      <c r="S177">
        <v>17</v>
      </c>
      <c r="T177" t="s">
        <v>70</v>
      </c>
      <c r="U177" t="s">
        <v>88</v>
      </c>
      <c r="V177" t="s">
        <v>83</v>
      </c>
      <c r="W177" t="s">
        <v>73</v>
      </c>
      <c r="X177" t="s">
        <v>95</v>
      </c>
      <c r="Y177" t="s">
        <v>75</v>
      </c>
      <c r="Z177" t="s">
        <v>85</v>
      </c>
      <c r="AA177" t="s">
        <v>76</v>
      </c>
      <c r="AB177" t="s">
        <v>77</v>
      </c>
      <c r="AC177" t="s">
        <v>78</v>
      </c>
      <c r="AD177" t="s">
        <v>79</v>
      </c>
      <c r="AE177">
        <v>0</v>
      </c>
      <c r="AF177" t="s">
        <v>81</v>
      </c>
      <c r="AG177" t="s">
        <v>81</v>
      </c>
      <c r="AH177" t="s">
        <v>80</v>
      </c>
      <c r="AI177" t="s">
        <v>80</v>
      </c>
      <c r="AJ177" t="s">
        <v>80</v>
      </c>
      <c r="AK177" t="s">
        <v>80</v>
      </c>
      <c r="AL177" t="s">
        <v>80</v>
      </c>
      <c r="AM177" t="s">
        <v>81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4</v>
      </c>
      <c r="AT177">
        <v>4</v>
      </c>
      <c r="AU177" t="s">
        <v>102</v>
      </c>
      <c r="AV177">
        <v>9</v>
      </c>
      <c r="AW177">
        <v>9</v>
      </c>
    </row>
    <row r="178" spans="16:49" x14ac:dyDescent="0.25">
      <c r="P178">
        <v>177</v>
      </c>
      <c r="Q178" t="s">
        <v>68</v>
      </c>
      <c r="R178" t="s">
        <v>69</v>
      </c>
      <c r="S178">
        <v>16</v>
      </c>
      <c r="T178" t="s">
        <v>70</v>
      </c>
      <c r="U178" t="s">
        <v>71</v>
      </c>
      <c r="V178" t="s">
        <v>83</v>
      </c>
      <c r="W178" t="s">
        <v>90</v>
      </c>
      <c r="X178" t="s">
        <v>90</v>
      </c>
      <c r="Y178" t="s">
        <v>91</v>
      </c>
      <c r="Z178" t="s">
        <v>85</v>
      </c>
      <c r="AA178" t="s">
        <v>98</v>
      </c>
      <c r="AB178" t="s">
        <v>77</v>
      </c>
      <c r="AC178" t="s">
        <v>78</v>
      </c>
      <c r="AD178" t="s">
        <v>79</v>
      </c>
      <c r="AE178">
        <v>0</v>
      </c>
      <c r="AF178" t="s">
        <v>81</v>
      </c>
      <c r="AG178" t="s">
        <v>81</v>
      </c>
      <c r="AH178" t="s">
        <v>80</v>
      </c>
      <c r="AI178" t="s">
        <v>80</v>
      </c>
      <c r="AJ178" t="s">
        <v>81</v>
      </c>
      <c r="AK178" t="s">
        <v>80</v>
      </c>
      <c r="AL178" t="s">
        <v>80</v>
      </c>
      <c r="AM178" t="s">
        <v>81</v>
      </c>
      <c r="AN178">
        <v>3</v>
      </c>
      <c r="AO178">
        <v>4</v>
      </c>
      <c r="AP178">
        <v>4</v>
      </c>
      <c r="AQ178">
        <v>1</v>
      </c>
      <c r="AR178">
        <v>4</v>
      </c>
      <c r="AS178">
        <v>5</v>
      </c>
      <c r="AT178">
        <v>2</v>
      </c>
      <c r="AU178" t="s">
        <v>105</v>
      </c>
      <c r="AV178">
        <v>13</v>
      </c>
      <c r="AW178">
        <v>11</v>
      </c>
    </row>
    <row r="179" spans="16:49" x14ac:dyDescent="0.25">
      <c r="P179">
        <v>178</v>
      </c>
      <c r="Q179" t="s">
        <v>68</v>
      </c>
      <c r="R179" t="s">
        <v>97</v>
      </c>
      <c r="S179">
        <v>17</v>
      </c>
      <c r="T179" t="s">
        <v>70</v>
      </c>
      <c r="U179" t="s">
        <v>71</v>
      </c>
      <c r="V179" t="s">
        <v>83</v>
      </c>
      <c r="W179" t="s">
        <v>95</v>
      </c>
      <c r="X179" t="s">
        <v>95</v>
      </c>
      <c r="Y179" t="s">
        <v>85</v>
      </c>
      <c r="Z179" t="s">
        <v>85</v>
      </c>
      <c r="AA179" t="s">
        <v>98</v>
      </c>
      <c r="AB179" t="s">
        <v>86</v>
      </c>
      <c r="AC179" t="s">
        <v>87</v>
      </c>
      <c r="AD179" t="s">
        <v>79</v>
      </c>
      <c r="AE179">
        <v>0</v>
      </c>
      <c r="AF179" t="s">
        <v>81</v>
      </c>
      <c r="AG179" t="s">
        <v>81</v>
      </c>
      <c r="AH179" t="s">
        <v>81</v>
      </c>
      <c r="AI179" t="s">
        <v>80</v>
      </c>
      <c r="AJ179" t="s">
        <v>81</v>
      </c>
      <c r="AK179" t="s">
        <v>80</v>
      </c>
      <c r="AL179" t="s">
        <v>80</v>
      </c>
      <c r="AM179" t="s">
        <v>81</v>
      </c>
      <c r="AN179">
        <v>4</v>
      </c>
      <c r="AO179">
        <v>3</v>
      </c>
      <c r="AP179">
        <v>4</v>
      </c>
      <c r="AQ179">
        <v>1</v>
      </c>
      <c r="AR179">
        <v>4</v>
      </c>
      <c r="AS179">
        <v>4</v>
      </c>
      <c r="AT179">
        <v>4</v>
      </c>
      <c r="AU179" t="s">
        <v>96</v>
      </c>
      <c r="AV179">
        <v>5</v>
      </c>
      <c r="AW179">
        <v>6</v>
      </c>
    </row>
    <row r="180" spans="16:49" x14ac:dyDescent="0.25">
      <c r="P180">
        <v>179</v>
      </c>
      <c r="Q180" t="s">
        <v>68</v>
      </c>
      <c r="R180" t="s">
        <v>97</v>
      </c>
      <c r="S180">
        <v>16</v>
      </c>
      <c r="T180" t="s">
        <v>107</v>
      </c>
      <c r="U180" t="s">
        <v>71</v>
      </c>
      <c r="V180" t="s">
        <v>83</v>
      </c>
      <c r="W180" t="s">
        <v>73</v>
      </c>
      <c r="X180" t="s">
        <v>90</v>
      </c>
      <c r="Y180" t="s">
        <v>75</v>
      </c>
      <c r="Z180" t="s">
        <v>91</v>
      </c>
      <c r="AA180" t="s">
        <v>85</v>
      </c>
      <c r="AB180" t="s">
        <v>77</v>
      </c>
      <c r="AC180" t="s">
        <v>87</v>
      </c>
      <c r="AD180" t="s">
        <v>104</v>
      </c>
      <c r="AE180">
        <v>0</v>
      </c>
      <c r="AF180" t="s">
        <v>81</v>
      </c>
      <c r="AG180" t="s">
        <v>80</v>
      </c>
      <c r="AH180" t="s">
        <v>81</v>
      </c>
      <c r="AI180" t="s">
        <v>80</v>
      </c>
      <c r="AJ180" t="s">
        <v>80</v>
      </c>
      <c r="AK180" t="s">
        <v>80</v>
      </c>
      <c r="AL180" t="s">
        <v>80</v>
      </c>
      <c r="AM180" t="s">
        <v>80</v>
      </c>
      <c r="AN180">
        <v>4</v>
      </c>
      <c r="AO180">
        <v>3</v>
      </c>
      <c r="AP180">
        <v>3</v>
      </c>
      <c r="AQ180">
        <v>3</v>
      </c>
      <c r="AR180">
        <v>4</v>
      </c>
      <c r="AS180">
        <v>3</v>
      </c>
      <c r="AT180">
        <v>10</v>
      </c>
      <c r="AU180" t="s">
        <v>102</v>
      </c>
      <c r="AV180">
        <v>8</v>
      </c>
      <c r="AW180">
        <v>9</v>
      </c>
    </row>
    <row r="181" spans="16:49" x14ac:dyDescent="0.25">
      <c r="P181">
        <v>180</v>
      </c>
      <c r="Q181" t="s">
        <v>68</v>
      </c>
      <c r="R181" t="s">
        <v>97</v>
      </c>
      <c r="S181">
        <v>17</v>
      </c>
      <c r="T181" t="s">
        <v>70</v>
      </c>
      <c r="U181" t="s">
        <v>71</v>
      </c>
      <c r="V181" t="s">
        <v>83</v>
      </c>
      <c r="W181" t="s">
        <v>73</v>
      </c>
      <c r="X181" t="s">
        <v>95</v>
      </c>
      <c r="Y181" t="s">
        <v>85</v>
      </c>
      <c r="Z181" t="s">
        <v>85</v>
      </c>
      <c r="AA181" t="s">
        <v>76</v>
      </c>
      <c r="AB181" t="s">
        <v>77</v>
      </c>
      <c r="AC181" t="s">
        <v>87</v>
      </c>
      <c r="AD181" t="s">
        <v>79</v>
      </c>
      <c r="AE181">
        <v>0</v>
      </c>
      <c r="AF181" t="s">
        <v>81</v>
      </c>
      <c r="AG181" t="s">
        <v>80</v>
      </c>
      <c r="AH181" t="s">
        <v>81</v>
      </c>
      <c r="AI181" t="s">
        <v>80</v>
      </c>
      <c r="AJ181" t="s">
        <v>80</v>
      </c>
      <c r="AK181" t="s">
        <v>80</v>
      </c>
      <c r="AL181" t="s">
        <v>80</v>
      </c>
      <c r="AM181" t="s">
        <v>80</v>
      </c>
      <c r="AN181">
        <v>5</v>
      </c>
      <c r="AO181">
        <v>2</v>
      </c>
      <c r="AP181">
        <v>3</v>
      </c>
      <c r="AQ181">
        <v>1</v>
      </c>
      <c r="AR181">
        <v>1</v>
      </c>
      <c r="AS181">
        <v>2</v>
      </c>
      <c r="AT181">
        <v>4</v>
      </c>
      <c r="AU181" t="s">
        <v>102</v>
      </c>
      <c r="AV181">
        <v>10</v>
      </c>
      <c r="AW181">
        <v>11</v>
      </c>
    </row>
    <row r="182" spans="16:49" x14ac:dyDescent="0.25">
      <c r="P182">
        <v>181</v>
      </c>
      <c r="Q182" t="s">
        <v>68</v>
      </c>
      <c r="R182" t="s">
        <v>97</v>
      </c>
      <c r="S182">
        <v>16</v>
      </c>
      <c r="T182" t="s">
        <v>70</v>
      </c>
      <c r="U182" t="s">
        <v>71</v>
      </c>
      <c r="V182" t="s">
        <v>83</v>
      </c>
      <c r="W182" t="s">
        <v>73</v>
      </c>
      <c r="X182" t="s">
        <v>95</v>
      </c>
      <c r="Y182" t="s">
        <v>75</v>
      </c>
      <c r="Z182" t="s">
        <v>85</v>
      </c>
      <c r="AA182" t="s">
        <v>92</v>
      </c>
      <c r="AB182" t="s">
        <v>77</v>
      </c>
      <c r="AC182" t="s">
        <v>87</v>
      </c>
      <c r="AD182" t="s">
        <v>79</v>
      </c>
      <c r="AE182">
        <v>0</v>
      </c>
      <c r="AF182" t="s">
        <v>81</v>
      </c>
      <c r="AG182" t="s">
        <v>80</v>
      </c>
      <c r="AH182" t="s">
        <v>80</v>
      </c>
      <c r="AI182" t="s">
        <v>80</v>
      </c>
      <c r="AJ182" t="s">
        <v>80</v>
      </c>
      <c r="AK182" t="s">
        <v>80</v>
      </c>
      <c r="AL182" t="s">
        <v>80</v>
      </c>
      <c r="AM182" t="s">
        <v>81</v>
      </c>
      <c r="AN182">
        <v>3</v>
      </c>
      <c r="AO182">
        <v>4</v>
      </c>
      <c r="AP182">
        <v>3</v>
      </c>
      <c r="AQ182">
        <v>2</v>
      </c>
      <c r="AR182">
        <v>3</v>
      </c>
      <c r="AS182">
        <v>3</v>
      </c>
      <c r="AT182">
        <v>10</v>
      </c>
      <c r="AU182" t="s">
        <v>109</v>
      </c>
      <c r="AV182">
        <v>8</v>
      </c>
      <c r="AW182">
        <v>8</v>
      </c>
    </row>
    <row r="183" spans="16:49" x14ac:dyDescent="0.25">
      <c r="P183">
        <v>182</v>
      </c>
      <c r="Q183" t="s">
        <v>68</v>
      </c>
      <c r="R183" t="s">
        <v>97</v>
      </c>
      <c r="S183">
        <v>16</v>
      </c>
      <c r="T183" t="s">
        <v>70</v>
      </c>
      <c r="U183" t="s">
        <v>71</v>
      </c>
      <c r="V183" t="s">
        <v>83</v>
      </c>
      <c r="W183" t="s">
        <v>95</v>
      </c>
      <c r="X183" t="s">
        <v>95</v>
      </c>
      <c r="Y183" t="s">
        <v>91</v>
      </c>
      <c r="Z183" t="s">
        <v>85</v>
      </c>
      <c r="AA183" t="s">
        <v>92</v>
      </c>
      <c r="AB183" t="s">
        <v>77</v>
      </c>
      <c r="AC183" t="s">
        <v>87</v>
      </c>
      <c r="AD183" t="s">
        <v>79</v>
      </c>
      <c r="AE183">
        <v>0</v>
      </c>
      <c r="AF183" t="s">
        <v>81</v>
      </c>
      <c r="AG183" t="s">
        <v>81</v>
      </c>
      <c r="AH183" t="s">
        <v>80</v>
      </c>
      <c r="AI183" t="s">
        <v>80</v>
      </c>
      <c r="AJ183" t="s">
        <v>80</v>
      </c>
      <c r="AK183" t="s">
        <v>80</v>
      </c>
      <c r="AL183" t="s">
        <v>80</v>
      </c>
      <c r="AM183" t="s">
        <v>80</v>
      </c>
      <c r="AN183">
        <v>4</v>
      </c>
      <c r="AO183">
        <v>2</v>
      </c>
      <c r="AP183">
        <v>3</v>
      </c>
      <c r="AQ183">
        <v>1</v>
      </c>
      <c r="AR183">
        <v>2</v>
      </c>
      <c r="AS183">
        <v>3</v>
      </c>
      <c r="AT183">
        <v>2</v>
      </c>
      <c r="AU183" t="s">
        <v>99</v>
      </c>
      <c r="AV183">
        <v>13</v>
      </c>
      <c r="AW183">
        <v>12</v>
      </c>
    </row>
    <row r="184" spans="16:49" x14ac:dyDescent="0.25">
      <c r="P184">
        <v>183</v>
      </c>
      <c r="Q184" t="s">
        <v>68</v>
      </c>
      <c r="R184" t="s">
        <v>69</v>
      </c>
      <c r="S184">
        <v>17</v>
      </c>
      <c r="T184" t="s">
        <v>70</v>
      </c>
      <c r="U184" t="s">
        <v>71</v>
      </c>
      <c r="V184" t="s">
        <v>83</v>
      </c>
      <c r="W184" t="s">
        <v>90</v>
      </c>
      <c r="X184" t="s">
        <v>73</v>
      </c>
      <c r="Y184" t="s">
        <v>91</v>
      </c>
      <c r="Z184" t="s">
        <v>91</v>
      </c>
      <c r="AA184" t="s">
        <v>98</v>
      </c>
      <c r="AB184" t="s">
        <v>86</v>
      </c>
      <c r="AC184" t="s">
        <v>87</v>
      </c>
      <c r="AD184" t="s">
        <v>79</v>
      </c>
      <c r="AE184">
        <v>0</v>
      </c>
      <c r="AF184" t="s">
        <v>81</v>
      </c>
      <c r="AG184" t="s">
        <v>80</v>
      </c>
      <c r="AH184" t="s">
        <v>81</v>
      </c>
      <c r="AI184" t="s">
        <v>80</v>
      </c>
      <c r="AJ184" t="s">
        <v>80</v>
      </c>
      <c r="AK184" t="s">
        <v>80</v>
      </c>
      <c r="AL184" t="s">
        <v>81</v>
      </c>
      <c r="AM184" t="s">
        <v>81</v>
      </c>
      <c r="AN184">
        <v>5</v>
      </c>
      <c r="AO184">
        <v>4</v>
      </c>
      <c r="AP184">
        <v>2</v>
      </c>
      <c r="AQ184">
        <v>2</v>
      </c>
      <c r="AR184">
        <v>3</v>
      </c>
      <c r="AS184">
        <v>5</v>
      </c>
      <c r="AT184">
        <v>0</v>
      </c>
      <c r="AU184" t="s">
        <v>100</v>
      </c>
      <c r="AV184">
        <v>17</v>
      </c>
      <c r="AW184">
        <v>17</v>
      </c>
    </row>
    <row r="185" spans="16:49" x14ac:dyDescent="0.25">
      <c r="P185">
        <v>184</v>
      </c>
      <c r="Q185" t="s">
        <v>68</v>
      </c>
      <c r="R185" t="s">
        <v>69</v>
      </c>
      <c r="S185">
        <v>17</v>
      </c>
      <c r="T185" t="s">
        <v>70</v>
      </c>
      <c r="U185" t="s">
        <v>88</v>
      </c>
      <c r="V185" t="s">
        <v>83</v>
      </c>
      <c r="W185" t="s">
        <v>95</v>
      </c>
      <c r="X185" t="s">
        <v>95</v>
      </c>
      <c r="Y185" t="s">
        <v>85</v>
      </c>
      <c r="Z185" t="s">
        <v>85</v>
      </c>
      <c r="AA185" t="s">
        <v>98</v>
      </c>
      <c r="AB185" t="s">
        <v>77</v>
      </c>
      <c r="AC185" t="s">
        <v>87</v>
      </c>
      <c r="AD185" t="s">
        <v>79</v>
      </c>
      <c r="AE185">
        <v>0</v>
      </c>
      <c r="AF185" t="s">
        <v>81</v>
      </c>
      <c r="AG185" t="s">
        <v>80</v>
      </c>
      <c r="AH185" t="s">
        <v>81</v>
      </c>
      <c r="AI185" t="s">
        <v>80</v>
      </c>
      <c r="AJ185" t="s">
        <v>80</v>
      </c>
      <c r="AK185" t="s">
        <v>80</v>
      </c>
      <c r="AL185" t="s">
        <v>80</v>
      </c>
      <c r="AM185" t="s">
        <v>80</v>
      </c>
      <c r="AN185">
        <v>5</v>
      </c>
      <c r="AO185">
        <v>3</v>
      </c>
      <c r="AP185">
        <v>3</v>
      </c>
      <c r="AQ185">
        <v>2</v>
      </c>
      <c r="AR185">
        <v>3</v>
      </c>
      <c r="AS185">
        <v>1</v>
      </c>
      <c r="AT185">
        <v>56</v>
      </c>
      <c r="AU185" t="s">
        <v>109</v>
      </c>
      <c r="AV185">
        <v>9</v>
      </c>
      <c r="AW185">
        <v>8</v>
      </c>
    </row>
    <row r="186" spans="16:49" x14ac:dyDescent="0.25">
      <c r="P186">
        <v>185</v>
      </c>
      <c r="Q186" t="s">
        <v>68</v>
      </c>
      <c r="R186" t="s">
        <v>69</v>
      </c>
      <c r="S186">
        <v>16</v>
      </c>
      <c r="T186" t="s">
        <v>70</v>
      </c>
      <c r="U186" t="s">
        <v>71</v>
      </c>
      <c r="V186" t="s">
        <v>83</v>
      </c>
      <c r="W186" t="s">
        <v>95</v>
      </c>
      <c r="X186" t="s">
        <v>90</v>
      </c>
      <c r="Y186" t="s">
        <v>85</v>
      </c>
      <c r="Z186" t="s">
        <v>85</v>
      </c>
      <c r="AA186" t="s">
        <v>98</v>
      </c>
      <c r="AB186" t="s">
        <v>77</v>
      </c>
      <c r="AC186" t="s">
        <v>87</v>
      </c>
      <c r="AD186" t="s">
        <v>79</v>
      </c>
      <c r="AE186">
        <v>0</v>
      </c>
      <c r="AF186" t="s">
        <v>81</v>
      </c>
      <c r="AG186" t="s">
        <v>80</v>
      </c>
      <c r="AH186" t="s">
        <v>80</v>
      </c>
      <c r="AI186" t="s">
        <v>81</v>
      </c>
      <c r="AJ186" t="s">
        <v>80</v>
      </c>
      <c r="AK186" t="s">
        <v>80</v>
      </c>
      <c r="AL186" t="s">
        <v>80</v>
      </c>
      <c r="AM186" t="s">
        <v>81</v>
      </c>
      <c r="AN186">
        <v>1</v>
      </c>
      <c r="AO186">
        <v>2</v>
      </c>
      <c r="AP186">
        <v>2</v>
      </c>
      <c r="AQ186">
        <v>1</v>
      </c>
      <c r="AR186">
        <v>2</v>
      </c>
      <c r="AS186">
        <v>1</v>
      </c>
      <c r="AT186">
        <v>14</v>
      </c>
      <c r="AU186" t="s">
        <v>99</v>
      </c>
      <c r="AV186">
        <v>13</v>
      </c>
      <c r="AW186">
        <v>12</v>
      </c>
    </row>
    <row r="187" spans="16:49" x14ac:dyDescent="0.25">
      <c r="P187">
        <v>186</v>
      </c>
      <c r="Q187" t="s">
        <v>68</v>
      </c>
      <c r="R187" t="s">
        <v>97</v>
      </c>
      <c r="S187">
        <v>17</v>
      </c>
      <c r="T187" t="s">
        <v>70</v>
      </c>
      <c r="U187" t="s">
        <v>71</v>
      </c>
      <c r="V187" t="s">
        <v>83</v>
      </c>
      <c r="W187" t="s">
        <v>95</v>
      </c>
      <c r="X187" t="s">
        <v>95</v>
      </c>
      <c r="Y187" t="s">
        <v>91</v>
      </c>
      <c r="Z187" t="s">
        <v>91</v>
      </c>
      <c r="AA187" t="s">
        <v>85</v>
      </c>
      <c r="AB187" t="s">
        <v>77</v>
      </c>
      <c r="AC187" t="s">
        <v>87</v>
      </c>
      <c r="AD187" t="s">
        <v>79</v>
      </c>
      <c r="AE187">
        <v>0</v>
      </c>
      <c r="AF187" t="s">
        <v>81</v>
      </c>
      <c r="AG187" t="s">
        <v>80</v>
      </c>
      <c r="AH187" t="s">
        <v>81</v>
      </c>
      <c r="AI187" t="s">
        <v>80</v>
      </c>
      <c r="AJ187" t="s">
        <v>80</v>
      </c>
      <c r="AK187" t="s">
        <v>80</v>
      </c>
      <c r="AL187" t="s">
        <v>80</v>
      </c>
      <c r="AM187" t="s">
        <v>80</v>
      </c>
      <c r="AN187">
        <v>4</v>
      </c>
      <c r="AO187">
        <v>3</v>
      </c>
      <c r="AP187">
        <v>4</v>
      </c>
      <c r="AQ187">
        <v>2</v>
      </c>
      <c r="AR187">
        <v>3</v>
      </c>
      <c r="AS187">
        <v>4</v>
      </c>
      <c r="AT187">
        <v>12</v>
      </c>
      <c r="AU187" t="s">
        <v>99</v>
      </c>
      <c r="AV187">
        <v>12</v>
      </c>
      <c r="AW187">
        <v>11</v>
      </c>
    </row>
    <row r="188" spans="16:49" x14ac:dyDescent="0.25">
      <c r="P188">
        <v>187</v>
      </c>
      <c r="Q188" t="s">
        <v>68</v>
      </c>
      <c r="R188" t="s">
        <v>97</v>
      </c>
      <c r="S188">
        <v>16</v>
      </c>
      <c r="T188" t="s">
        <v>70</v>
      </c>
      <c r="U188" t="s">
        <v>71</v>
      </c>
      <c r="V188" t="s">
        <v>83</v>
      </c>
      <c r="W188" t="s">
        <v>84</v>
      </c>
      <c r="X188" t="s">
        <v>90</v>
      </c>
      <c r="Y188" t="s">
        <v>91</v>
      </c>
      <c r="Z188" t="s">
        <v>91</v>
      </c>
      <c r="AA188" t="s">
        <v>85</v>
      </c>
      <c r="AB188" t="s">
        <v>77</v>
      </c>
      <c r="AC188" t="s">
        <v>87</v>
      </c>
      <c r="AD188" t="s">
        <v>104</v>
      </c>
      <c r="AE188">
        <v>0</v>
      </c>
      <c r="AF188" t="s">
        <v>81</v>
      </c>
      <c r="AG188" t="s">
        <v>80</v>
      </c>
      <c r="AH188" t="s">
        <v>80</v>
      </c>
      <c r="AI188" t="s">
        <v>80</v>
      </c>
      <c r="AJ188" t="s">
        <v>80</v>
      </c>
      <c r="AK188" t="s">
        <v>80</v>
      </c>
      <c r="AL188" t="s">
        <v>80</v>
      </c>
      <c r="AM188" t="s">
        <v>80</v>
      </c>
      <c r="AN188">
        <v>3</v>
      </c>
      <c r="AO188">
        <v>3</v>
      </c>
      <c r="AP188">
        <v>3</v>
      </c>
      <c r="AQ188">
        <v>1</v>
      </c>
      <c r="AR188">
        <v>2</v>
      </c>
      <c r="AS188">
        <v>3</v>
      </c>
      <c r="AT188">
        <v>2</v>
      </c>
      <c r="AU188" t="s">
        <v>108</v>
      </c>
      <c r="AV188">
        <v>12</v>
      </c>
      <c r="AW188">
        <v>11</v>
      </c>
    </row>
    <row r="189" spans="16:49" x14ac:dyDescent="0.25">
      <c r="P189">
        <v>188</v>
      </c>
      <c r="Q189" t="s">
        <v>68</v>
      </c>
      <c r="R189" t="s">
        <v>97</v>
      </c>
      <c r="S189">
        <v>16</v>
      </c>
      <c r="T189" t="s">
        <v>70</v>
      </c>
      <c r="U189" t="s">
        <v>88</v>
      </c>
      <c r="V189" t="s">
        <v>83</v>
      </c>
      <c r="W189" t="s">
        <v>90</v>
      </c>
      <c r="X189" t="s">
        <v>84</v>
      </c>
      <c r="Y189" t="s">
        <v>85</v>
      </c>
      <c r="Z189" t="s">
        <v>85</v>
      </c>
      <c r="AA189" t="s">
        <v>76</v>
      </c>
      <c r="AB189" t="s">
        <v>77</v>
      </c>
      <c r="AC189" t="s">
        <v>87</v>
      </c>
      <c r="AD189" t="s">
        <v>79</v>
      </c>
      <c r="AE189">
        <v>0</v>
      </c>
      <c r="AF189" t="s">
        <v>81</v>
      </c>
      <c r="AG189" t="s">
        <v>81</v>
      </c>
      <c r="AH189" t="s">
        <v>80</v>
      </c>
      <c r="AI189" t="s">
        <v>80</v>
      </c>
      <c r="AJ189" t="s">
        <v>80</v>
      </c>
      <c r="AK189" t="s">
        <v>80</v>
      </c>
      <c r="AL189" t="s">
        <v>80</v>
      </c>
      <c r="AM189" t="s">
        <v>80</v>
      </c>
      <c r="AN189">
        <v>4</v>
      </c>
      <c r="AO189">
        <v>2</v>
      </c>
      <c r="AP189">
        <v>3</v>
      </c>
      <c r="AQ189">
        <v>1</v>
      </c>
      <c r="AR189">
        <v>2</v>
      </c>
      <c r="AS189">
        <v>5</v>
      </c>
      <c r="AT189">
        <v>0</v>
      </c>
      <c r="AU189" t="s">
        <v>94</v>
      </c>
      <c r="AV189">
        <v>15</v>
      </c>
      <c r="AW189">
        <v>15</v>
      </c>
    </row>
    <row r="190" spans="16:49" x14ac:dyDescent="0.25">
      <c r="P190">
        <v>189</v>
      </c>
      <c r="Q190" t="s">
        <v>68</v>
      </c>
      <c r="R190" t="s">
        <v>69</v>
      </c>
      <c r="S190">
        <v>17</v>
      </c>
      <c r="T190" t="s">
        <v>70</v>
      </c>
      <c r="U190" t="s">
        <v>71</v>
      </c>
      <c r="V190" t="s">
        <v>72</v>
      </c>
      <c r="W190" t="s">
        <v>95</v>
      </c>
      <c r="X190" t="s">
        <v>95</v>
      </c>
      <c r="Y190" t="s">
        <v>63</v>
      </c>
      <c r="Z190" t="s">
        <v>85</v>
      </c>
      <c r="AA190" t="s">
        <v>98</v>
      </c>
      <c r="AB190" t="s">
        <v>77</v>
      </c>
      <c r="AC190" t="s">
        <v>87</v>
      </c>
      <c r="AD190" t="s">
        <v>79</v>
      </c>
      <c r="AE190">
        <v>0</v>
      </c>
      <c r="AF190" t="s">
        <v>81</v>
      </c>
      <c r="AG190" t="s">
        <v>80</v>
      </c>
      <c r="AH190" t="s">
        <v>81</v>
      </c>
      <c r="AI190" t="s">
        <v>81</v>
      </c>
      <c r="AJ190" t="s">
        <v>81</v>
      </c>
      <c r="AK190" t="s">
        <v>80</v>
      </c>
      <c r="AL190" t="s">
        <v>80</v>
      </c>
      <c r="AM190" t="s">
        <v>80</v>
      </c>
      <c r="AN190">
        <v>3</v>
      </c>
      <c r="AO190">
        <v>3</v>
      </c>
      <c r="AP190">
        <v>3</v>
      </c>
      <c r="AQ190">
        <v>1</v>
      </c>
      <c r="AR190">
        <v>3</v>
      </c>
      <c r="AS190">
        <v>3</v>
      </c>
      <c r="AT190">
        <v>6</v>
      </c>
      <c r="AU190" t="s">
        <v>106</v>
      </c>
      <c r="AV190">
        <v>7</v>
      </c>
      <c r="AW190">
        <v>9</v>
      </c>
    </row>
    <row r="191" spans="16:49" x14ac:dyDescent="0.25">
      <c r="P191">
        <v>190</v>
      </c>
      <c r="Q191" t="s">
        <v>68</v>
      </c>
      <c r="R191" t="s">
        <v>97</v>
      </c>
      <c r="S191">
        <v>17</v>
      </c>
      <c r="T191" t="s">
        <v>107</v>
      </c>
      <c r="U191" t="s">
        <v>71</v>
      </c>
      <c r="V191" t="s">
        <v>83</v>
      </c>
      <c r="W191" t="s">
        <v>84</v>
      </c>
      <c r="X191" t="s">
        <v>90</v>
      </c>
      <c r="Y191" t="s">
        <v>74</v>
      </c>
      <c r="Z191" t="s">
        <v>85</v>
      </c>
      <c r="AA191" t="s">
        <v>92</v>
      </c>
      <c r="AB191" t="s">
        <v>77</v>
      </c>
      <c r="AC191" t="s">
        <v>87</v>
      </c>
      <c r="AD191" t="s">
        <v>79</v>
      </c>
      <c r="AE191">
        <v>0</v>
      </c>
      <c r="AF191" t="s">
        <v>81</v>
      </c>
      <c r="AG191" t="s">
        <v>81</v>
      </c>
      <c r="AH191" t="s">
        <v>81</v>
      </c>
      <c r="AI191" t="s">
        <v>81</v>
      </c>
      <c r="AJ191" t="s">
        <v>80</v>
      </c>
      <c r="AK191" t="s">
        <v>80</v>
      </c>
      <c r="AL191" t="s">
        <v>81</v>
      </c>
      <c r="AM191" t="s">
        <v>81</v>
      </c>
      <c r="AN191">
        <v>3</v>
      </c>
      <c r="AO191">
        <v>1</v>
      </c>
      <c r="AP191">
        <v>3</v>
      </c>
      <c r="AQ191">
        <v>1</v>
      </c>
      <c r="AR191">
        <v>5</v>
      </c>
      <c r="AS191">
        <v>3</v>
      </c>
      <c r="AT191">
        <v>4</v>
      </c>
      <c r="AU191" t="s">
        <v>106</v>
      </c>
      <c r="AV191">
        <v>9</v>
      </c>
      <c r="AW191">
        <v>10</v>
      </c>
    </row>
    <row r="192" spans="16:49" x14ac:dyDescent="0.25">
      <c r="P192">
        <v>191</v>
      </c>
      <c r="Q192" t="s">
        <v>68</v>
      </c>
      <c r="R192" t="s">
        <v>69</v>
      </c>
      <c r="S192">
        <v>16</v>
      </c>
      <c r="T192" t="s">
        <v>70</v>
      </c>
      <c r="U192" t="s">
        <v>71</v>
      </c>
      <c r="V192" t="s">
        <v>83</v>
      </c>
      <c r="W192" t="s">
        <v>90</v>
      </c>
      <c r="X192" t="s">
        <v>95</v>
      </c>
      <c r="Y192" t="s">
        <v>91</v>
      </c>
      <c r="Z192" t="s">
        <v>91</v>
      </c>
      <c r="AA192" t="s">
        <v>76</v>
      </c>
      <c r="AB192" t="s">
        <v>77</v>
      </c>
      <c r="AC192" t="s">
        <v>87</v>
      </c>
      <c r="AD192" t="s">
        <v>79</v>
      </c>
      <c r="AE192">
        <v>0</v>
      </c>
      <c r="AF192" t="s">
        <v>81</v>
      </c>
      <c r="AG192" t="s">
        <v>81</v>
      </c>
      <c r="AH192" t="s">
        <v>81</v>
      </c>
      <c r="AI192" t="s">
        <v>81</v>
      </c>
      <c r="AJ192" t="s">
        <v>80</v>
      </c>
      <c r="AK192" t="s">
        <v>80</v>
      </c>
      <c r="AL192" t="s">
        <v>80</v>
      </c>
      <c r="AM192" t="s">
        <v>81</v>
      </c>
      <c r="AN192">
        <v>4</v>
      </c>
      <c r="AO192">
        <v>3</v>
      </c>
      <c r="AP192">
        <v>3</v>
      </c>
      <c r="AQ192">
        <v>1</v>
      </c>
      <c r="AR192">
        <v>1</v>
      </c>
      <c r="AS192">
        <v>2</v>
      </c>
      <c r="AT192">
        <v>10</v>
      </c>
      <c r="AU192" t="s">
        <v>108</v>
      </c>
      <c r="AV192">
        <v>12</v>
      </c>
      <c r="AW192">
        <v>13</v>
      </c>
    </row>
    <row r="193" spans="16:49" x14ac:dyDescent="0.25">
      <c r="P193">
        <v>192</v>
      </c>
      <c r="Q193" t="s">
        <v>68</v>
      </c>
      <c r="R193" t="s">
        <v>69</v>
      </c>
      <c r="S193">
        <v>17</v>
      </c>
      <c r="T193" t="s">
        <v>70</v>
      </c>
      <c r="U193" t="s">
        <v>71</v>
      </c>
      <c r="V193" t="s">
        <v>83</v>
      </c>
      <c r="W193" t="s">
        <v>84</v>
      </c>
      <c r="X193" t="s">
        <v>84</v>
      </c>
      <c r="Y193" t="s">
        <v>74</v>
      </c>
      <c r="Z193" t="s">
        <v>91</v>
      </c>
      <c r="AA193" t="s">
        <v>76</v>
      </c>
      <c r="AB193" t="s">
        <v>77</v>
      </c>
      <c r="AC193" t="s">
        <v>87</v>
      </c>
      <c r="AD193" t="s">
        <v>79</v>
      </c>
      <c r="AE193">
        <v>0</v>
      </c>
      <c r="AF193" t="s">
        <v>81</v>
      </c>
      <c r="AG193" t="s">
        <v>81</v>
      </c>
      <c r="AH193" t="s">
        <v>81</v>
      </c>
      <c r="AI193" t="s">
        <v>80</v>
      </c>
      <c r="AJ193" t="s">
        <v>80</v>
      </c>
      <c r="AK193" t="s">
        <v>80</v>
      </c>
      <c r="AL193" t="s">
        <v>80</v>
      </c>
      <c r="AM193" t="s">
        <v>81</v>
      </c>
      <c r="AN193">
        <v>5</v>
      </c>
      <c r="AO193">
        <v>3</v>
      </c>
      <c r="AP193">
        <v>3</v>
      </c>
      <c r="AQ193">
        <v>1</v>
      </c>
      <c r="AR193">
        <v>1</v>
      </c>
      <c r="AS193">
        <v>3</v>
      </c>
      <c r="AT193">
        <v>0</v>
      </c>
      <c r="AU193" t="s">
        <v>106</v>
      </c>
      <c r="AV193">
        <v>8</v>
      </c>
      <c r="AW193">
        <v>9</v>
      </c>
    </row>
    <row r="194" spans="16:49" x14ac:dyDescent="0.25">
      <c r="P194">
        <v>193</v>
      </c>
      <c r="Q194" t="s">
        <v>68</v>
      </c>
      <c r="R194" t="s">
        <v>97</v>
      </c>
      <c r="S194">
        <v>17</v>
      </c>
      <c r="T194" t="s">
        <v>70</v>
      </c>
      <c r="U194" t="s">
        <v>71</v>
      </c>
      <c r="V194" t="s">
        <v>83</v>
      </c>
      <c r="W194" t="s">
        <v>84</v>
      </c>
      <c r="X194" t="s">
        <v>90</v>
      </c>
      <c r="Y194" t="s">
        <v>74</v>
      </c>
      <c r="Z194" t="s">
        <v>91</v>
      </c>
      <c r="AA194" t="s">
        <v>85</v>
      </c>
      <c r="AB194" t="s">
        <v>85</v>
      </c>
      <c r="AC194" t="s">
        <v>78</v>
      </c>
      <c r="AD194" t="s">
        <v>79</v>
      </c>
      <c r="AE194">
        <v>0</v>
      </c>
      <c r="AF194" t="s">
        <v>81</v>
      </c>
      <c r="AG194" t="s">
        <v>81</v>
      </c>
      <c r="AH194" t="s">
        <v>80</v>
      </c>
      <c r="AI194" t="s">
        <v>80</v>
      </c>
      <c r="AJ194" t="s">
        <v>81</v>
      </c>
      <c r="AK194" t="s">
        <v>80</v>
      </c>
      <c r="AL194" t="s">
        <v>80</v>
      </c>
      <c r="AM194" t="s">
        <v>81</v>
      </c>
      <c r="AN194">
        <v>4</v>
      </c>
      <c r="AO194">
        <v>4</v>
      </c>
      <c r="AP194">
        <v>4</v>
      </c>
      <c r="AQ194">
        <v>4</v>
      </c>
      <c r="AR194">
        <v>5</v>
      </c>
      <c r="AS194">
        <v>5</v>
      </c>
      <c r="AT194">
        <v>12</v>
      </c>
      <c r="AU194" t="s">
        <v>89</v>
      </c>
      <c r="AV194">
        <v>8</v>
      </c>
      <c r="AW194">
        <v>8</v>
      </c>
    </row>
    <row r="195" spans="16:49" x14ac:dyDescent="0.25">
      <c r="P195">
        <v>194</v>
      </c>
      <c r="Q195" t="s">
        <v>68</v>
      </c>
      <c r="R195" t="s">
        <v>97</v>
      </c>
      <c r="S195">
        <v>16</v>
      </c>
      <c r="T195" t="s">
        <v>107</v>
      </c>
      <c r="U195" t="s">
        <v>71</v>
      </c>
      <c r="V195" t="s">
        <v>83</v>
      </c>
      <c r="W195" t="s">
        <v>95</v>
      </c>
      <c r="X195" t="s">
        <v>95</v>
      </c>
      <c r="Y195" t="s">
        <v>91</v>
      </c>
      <c r="Z195" t="s">
        <v>91</v>
      </c>
      <c r="AA195" t="s">
        <v>98</v>
      </c>
      <c r="AB195" t="s">
        <v>77</v>
      </c>
      <c r="AC195" t="s">
        <v>87</v>
      </c>
      <c r="AD195" t="s">
        <v>104</v>
      </c>
      <c r="AE195">
        <v>0</v>
      </c>
      <c r="AF195" t="s">
        <v>81</v>
      </c>
      <c r="AG195" t="s">
        <v>80</v>
      </c>
      <c r="AH195" t="s">
        <v>81</v>
      </c>
      <c r="AI195" t="s">
        <v>80</v>
      </c>
      <c r="AJ195" t="s">
        <v>80</v>
      </c>
      <c r="AK195" t="s">
        <v>80</v>
      </c>
      <c r="AL195" t="s">
        <v>80</v>
      </c>
      <c r="AM195" t="s">
        <v>81</v>
      </c>
      <c r="AN195">
        <v>4</v>
      </c>
      <c r="AO195">
        <v>3</v>
      </c>
      <c r="AP195">
        <v>2</v>
      </c>
      <c r="AQ195">
        <v>3</v>
      </c>
      <c r="AR195">
        <v>4</v>
      </c>
      <c r="AS195">
        <v>5</v>
      </c>
      <c r="AT195">
        <v>8</v>
      </c>
      <c r="AU195" t="s">
        <v>106</v>
      </c>
      <c r="AV195">
        <v>9</v>
      </c>
      <c r="AW195">
        <v>10</v>
      </c>
    </row>
    <row r="196" spans="16:49" x14ac:dyDescent="0.25">
      <c r="P196">
        <v>195</v>
      </c>
      <c r="Q196" t="s">
        <v>68</v>
      </c>
      <c r="R196" t="s">
        <v>97</v>
      </c>
      <c r="S196">
        <v>16</v>
      </c>
      <c r="T196" t="s">
        <v>70</v>
      </c>
      <c r="U196" t="s">
        <v>71</v>
      </c>
      <c r="V196" t="s">
        <v>83</v>
      </c>
      <c r="W196" t="s">
        <v>90</v>
      </c>
      <c r="X196" t="s">
        <v>95</v>
      </c>
      <c r="Y196" t="s">
        <v>85</v>
      </c>
      <c r="Z196" t="s">
        <v>85</v>
      </c>
      <c r="AA196" t="s">
        <v>92</v>
      </c>
      <c r="AB196" t="s">
        <v>86</v>
      </c>
      <c r="AC196" t="s">
        <v>78</v>
      </c>
      <c r="AD196" t="s">
        <v>104</v>
      </c>
      <c r="AE196">
        <v>0</v>
      </c>
      <c r="AF196" t="s">
        <v>81</v>
      </c>
      <c r="AG196" t="s">
        <v>81</v>
      </c>
      <c r="AH196" t="s">
        <v>81</v>
      </c>
      <c r="AI196" t="s">
        <v>81</v>
      </c>
      <c r="AJ196" t="s">
        <v>80</v>
      </c>
      <c r="AK196" t="s">
        <v>80</v>
      </c>
      <c r="AL196" t="s">
        <v>80</v>
      </c>
      <c r="AM196" t="s">
        <v>81</v>
      </c>
      <c r="AN196">
        <v>5</v>
      </c>
      <c r="AO196">
        <v>3</v>
      </c>
      <c r="AP196">
        <v>3</v>
      </c>
      <c r="AQ196">
        <v>1</v>
      </c>
      <c r="AR196">
        <v>1</v>
      </c>
      <c r="AS196">
        <v>3</v>
      </c>
      <c r="AT196">
        <v>0</v>
      </c>
      <c r="AU196" t="s">
        <v>105</v>
      </c>
      <c r="AV196">
        <v>14</v>
      </c>
      <c r="AW196">
        <v>14</v>
      </c>
    </row>
    <row r="197" spans="16:49" x14ac:dyDescent="0.25">
      <c r="P197">
        <v>196</v>
      </c>
      <c r="Q197" t="s">
        <v>68</v>
      </c>
      <c r="R197" t="s">
        <v>69</v>
      </c>
      <c r="S197">
        <v>17</v>
      </c>
      <c r="T197" t="s">
        <v>70</v>
      </c>
      <c r="U197" t="s">
        <v>88</v>
      </c>
      <c r="V197" t="s">
        <v>83</v>
      </c>
      <c r="W197" t="s">
        <v>90</v>
      </c>
      <c r="X197" t="s">
        <v>73</v>
      </c>
      <c r="Y197" t="s">
        <v>91</v>
      </c>
      <c r="Z197" t="s">
        <v>91</v>
      </c>
      <c r="AA197" t="s">
        <v>76</v>
      </c>
      <c r="AB197" t="s">
        <v>86</v>
      </c>
      <c r="AC197" t="s">
        <v>87</v>
      </c>
      <c r="AD197" t="s">
        <v>79</v>
      </c>
      <c r="AE197">
        <v>0</v>
      </c>
      <c r="AF197" t="s">
        <v>81</v>
      </c>
      <c r="AG197" t="s">
        <v>81</v>
      </c>
      <c r="AH197" t="s">
        <v>81</v>
      </c>
      <c r="AI197" t="s">
        <v>80</v>
      </c>
      <c r="AJ197" t="s">
        <v>80</v>
      </c>
      <c r="AK197" t="s">
        <v>80</v>
      </c>
      <c r="AL197" t="s">
        <v>80</v>
      </c>
      <c r="AM197" t="s">
        <v>80</v>
      </c>
      <c r="AN197">
        <v>4</v>
      </c>
      <c r="AO197">
        <v>3</v>
      </c>
      <c r="AP197">
        <v>2</v>
      </c>
      <c r="AQ197">
        <v>1</v>
      </c>
      <c r="AR197">
        <v>1</v>
      </c>
      <c r="AS197">
        <v>5</v>
      </c>
      <c r="AT197">
        <v>0</v>
      </c>
      <c r="AU197" t="s">
        <v>101</v>
      </c>
      <c r="AV197">
        <v>15</v>
      </c>
      <c r="AW197">
        <v>15</v>
      </c>
    </row>
    <row r="198" spans="16:49" x14ac:dyDescent="0.25">
      <c r="P198">
        <v>197</v>
      </c>
      <c r="Q198" t="s">
        <v>68</v>
      </c>
      <c r="R198" t="s">
        <v>97</v>
      </c>
      <c r="S198">
        <v>17</v>
      </c>
      <c r="T198" t="s">
        <v>70</v>
      </c>
      <c r="U198" t="s">
        <v>71</v>
      </c>
      <c r="V198" t="s">
        <v>83</v>
      </c>
      <c r="W198" t="s">
        <v>73</v>
      </c>
      <c r="X198" t="s">
        <v>73</v>
      </c>
      <c r="Y198" t="s">
        <v>91</v>
      </c>
      <c r="Z198" t="s">
        <v>75</v>
      </c>
      <c r="AA198" t="s">
        <v>92</v>
      </c>
      <c r="AB198" t="s">
        <v>77</v>
      </c>
      <c r="AC198" t="s">
        <v>87</v>
      </c>
      <c r="AD198" t="s">
        <v>104</v>
      </c>
      <c r="AE198">
        <v>0</v>
      </c>
      <c r="AF198" t="s">
        <v>81</v>
      </c>
      <c r="AG198" t="s">
        <v>81</v>
      </c>
      <c r="AH198" t="s">
        <v>81</v>
      </c>
      <c r="AI198" t="s">
        <v>81</v>
      </c>
      <c r="AJ198" t="s">
        <v>80</v>
      </c>
      <c r="AK198" t="s">
        <v>80</v>
      </c>
      <c r="AL198" t="s">
        <v>80</v>
      </c>
      <c r="AM198" t="s">
        <v>81</v>
      </c>
      <c r="AN198">
        <v>5</v>
      </c>
      <c r="AO198">
        <v>2</v>
      </c>
      <c r="AP198">
        <v>3</v>
      </c>
      <c r="AQ198">
        <v>1</v>
      </c>
      <c r="AR198">
        <v>2</v>
      </c>
      <c r="AS198">
        <v>5</v>
      </c>
      <c r="AT198">
        <v>4</v>
      </c>
      <c r="AU198" t="s">
        <v>110</v>
      </c>
      <c r="AV198">
        <v>15</v>
      </c>
      <c r="AW198">
        <v>16</v>
      </c>
    </row>
    <row r="199" spans="16:49" x14ac:dyDescent="0.25">
      <c r="P199">
        <v>198</v>
      </c>
      <c r="Q199" t="s">
        <v>68</v>
      </c>
      <c r="R199" t="s">
        <v>97</v>
      </c>
      <c r="S199">
        <v>16</v>
      </c>
      <c r="T199" t="s">
        <v>107</v>
      </c>
      <c r="U199" t="s">
        <v>88</v>
      </c>
      <c r="V199" t="s">
        <v>83</v>
      </c>
      <c r="W199" t="s">
        <v>95</v>
      </c>
      <c r="X199" t="s">
        <v>95</v>
      </c>
      <c r="Y199" t="s">
        <v>75</v>
      </c>
      <c r="Z199" t="s">
        <v>85</v>
      </c>
      <c r="AA199" t="s">
        <v>92</v>
      </c>
      <c r="AB199" t="s">
        <v>86</v>
      </c>
      <c r="AC199" t="s">
        <v>103</v>
      </c>
      <c r="AD199" t="s">
        <v>104</v>
      </c>
      <c r="AE199">
        <v>0</v>
      </c>
      <c r="AF199" t="s">
        <v>81</v>
      </c>
      <c r="AG199" t="s">
        <v>80</v>
      </c>
      <c r="AH199" t="s">
        <v>80</v>
      </c>
      <c r="AI199" t="s">
        <v>80</v>
      </c>
      <c r="AJ199" t="s">
        <v>80</v>
      </c>
      <c r="AK199" t="s">
        <v>80</v>
      </c>
      <c r="AL199" t="s">
        <v>80</v>
      </c>
      <c r="AM199" t="s">
        <v>81</v>
      </c>
      <c r="AN199">
        <v>3</v>
      </c>
      <c r="AO199">
        <v>3</v>
      </c>
      <c r="AP199">
        <v>4</v>
      </c>
      <c r="AQ199">
        <v>3</v>
      </c>
      <c r="AR199">
        <v>5</v>
      </c>
      <c r="AS199">
        <v>3</v>
      </c>
      <c r="AT199">
        <v>8</v>
      </c>
      <c r="AU199" t="s">
        <v>109</v>
      </c>
      <c r="AV199">
        <v>9</v>
      </c>
      <c r="AW199">
        <v>10</v>
      </c>
    </row>
    <row r="200" spans="16:49" x14ac:dyDescent="0.25">
      <c r="P200">
        <v>199</v>
      </c>
      <c r="Q200" t="s">
        <v>68</v>
      </c>
      <c r="R200" t="s">
        <v>69</v>
      </c>
      <c r="S200">
        <v>17</v>
      </c>
      <c r="T200" t="s">
        <v>70</v>
      </c>
      <c r="U200" t="s">
        <v>71</v>
      </c>
      <c r="V200" t="s">
        <v>83</v>
      </c>
      <c r="W200" t="s">
        <v>73</v>
      </c>
      <c r="X200" t="s">
        <v>73</v>
      </c>
      <c r="Y200" t="s">
        <v>91</v>
      </c>
      <c r="Z200" t="s">
        <v>75</v>
      </c>
      <c r="AA200" t="s">
        <v>92</v>
      </c>
      <c r="AB200" t="s">
        <v>77</v>
      </c>
      <c r="AC200" t="s">
        <v>78</v>
      </c>
      <c r="AD200" t="s">
        <v>104</v>
      </c>
      <c r="AE200">
        <v>1</v>
      </c>
      <c r="AF200" t="s">
        <v>81</v>
      </c>
      <c r="AG200" t="s">
        <v>80</v>
      </c>
      <c r="AH200" t="s">
        <v>81</v>
      </c>
      <c r="AI200" t="s">
        <v>81</v>
      </c>
      <c r="AJ200" t="s">
        <v>80</v>
      </c>
      <c r="AK200" t="s">
        <v>80</v>
      </c>
      <c r="AL200" t="s">
        <v>80</v>
      </c>
      <c r="AM200" t="s">
        <v>81</v>
      </c>
      <c r="AN200">
        <v>4</v>
      </c>
      <c r="AO200">
        <v>2</v>
      </c>
      <c r="AP200">
        <v>4</v>
      </c>
      <c r="AQ200">
        <v>2</v>
      </c>
      <c r="AR200">
        <v>3</v>
      </c>
      <c r="AS200">
        <v>2</v>
      </c>
      <c r="AT200">
        <v>24</v>
      </c>
      <c r="AU200" t="s">
        <v>115</v>
      </c>
      <c r="AV200">
        <v>18</v>
      </c>
      <c r="AW200">
        <v>18</v>
      </c>
    </row>
    <row r="201" spans="16:49" x14ac:dyDescent="0.25">
      <c r="P201">
        <v>200</v>
      </c>
      <c r="Q201" t="s">
        <v>68</v>
      </c>
      <c r="R201" t="s">
        <v>69</v>
      </c>
      <c r="S201">
        <v>16</v>
      </c>
      <c r="T201" t="s">
        <v>70</v>
      </c>
      <c r="U201" t="s">
        <v>88</v>
      </c>
      <c r="V201" t="s">
        <v>83</v>
      </c>
      <c r="W201" t="s">
        <v>73</v>
      </c>
      <c r="X201" t="s">
        <v>73</v>
      </c>
      <c r="Y201" t="s">
        <v>75</v>
      </c>
      <c r="Z201" t="s">
        <v>75</v>
      </c>
      <c r="AA201" t="s">
        <v>98</v>
      </c>
      <c r="AB201" t="s">
        <v>77</v>
      </c>
      <c r="AC201" t="s">
        <v>87</v>
      </c>
      <c r="AD201" t="s">
        <v>79</v>
      </c>
      <c r="AE201">
        <v>0</v>
      </c>
      <c r="AF201" t="s">
        <v>81</v>
      </c>
      <c r="AG201" t="s">
        <v>80</v>
      </c>
      <c r="AH201" t="s">
        <v>80</v>
      </c>
      <c r="AI201" t="s">
        <v>81</v>
      </c>
      <c r="AJ201" t="s">
        <v>80</v>
      </c>
      <c r="AK201" t="s">
        <v>80</v>
      </c>
      <c r="AL201" t="s">
        <v>80</v>
      </c>
      <c r="AM201" t="s">
        <v>81</v>
      </c>
      <c r="AN201">
        <v>4</v>
      </c>
      <c r="AO201">
        <v>5</v>
      </c>
      <c r="AP201">
        <v>2</v>
      </c>
      <c r="AQ201">
        <v>1</v>
      </c>
      <c r="AR201">
        <v>2</v>
      </c>
      <c r="AS201">
        <v>3</v>
      </c>
      <c r="AT201">
        <v>0</v>
      </c>
      <c r="AU201" t="s">
        <v>109</v>
      </c>
      <c r="AV201">
        <v>9</v>
      </c>
      <c r="AW201">
        <v>10</v>
      </c>
    </row>
    <row r="202" spans="16:49" x14ac:dyDescent="0.25">
      <c r="P202">
        <v>201</v>
      </c>
      <c r="Q202" t="s">
        <v>68</v>
      </c>
      <c r="R202" t="s">
        <v>69</v>
      </c>
      <c r="S202">
        <v>16</v>
      </c>
      <c r="T202" t="s">
        <v>70</v>
      </c>
      <c r="U202" t="s">
        <v>71</v>
      </c>
      <c r="V202" t="s">
        <v>83</v>
      </c>
      <c r="W202" t="s">
        <v>73</v>
      </c>
      <c r="X202" t="s">
        <v>95</v>
      </c>
      <c r="Y202" t="s">
        <v>63</v>
      </c>
      <c r="Z202" t="s">
        <v>85</v>
      </c>
      <c r="AA202" t="s">
        <v>92</v>
      </c>
      <c r="AB202" t="s">
        <v>77</v>
      </c>
      <c r="AC202" t="s">
        <v>87</v>
      </c>
      <c r="AD202" t="s">
        <v>79</v>
      </c>
      <c r="AE202">
        <v>0</v>
      </c>
      <c r="AF202" t="s">
        <v>81</v>
      </c>
      <c r="AG202" t="s">
        <v>80</v>
      </c>
      <c r="AH202" t="s">
        <v>81</v>
      </c>
      <c r="AI202" t="s">
        <v>80</v>
      </c>
      <c r="AJ202" t="s">
        <v>80</v>
      </c>
      <c r="AK202" t="s">
        <v>80</v>
      </c>
      <c r="AL202" t="s">
        <v>80</v>
      </c>
      <c r="AM202" t="s">
        <v>81</v>
      </c>
      <c r="AN202">
        <v>4</v>
      </c>
      <c r="AO202">
        <v>3</v>
      </c>
      <c r="AP202">
        <v>5</v>
      </c>
      <c r="AQ202">
        <v>1</v>
      </c>
      <c r="AR202">
        <v>5</v>
      </c>
      <c r="AS202">
        <v>2</v>
      </c>
      <c r="AT202">
        <v>2</v>
      </c>
      <c r="AU202" t="s">
        <v>100</v>
      </c>
      <c r="AV202">
        <v>16</v>
      </c>
      <c r="AW202">
        <v>16</v>
      </c>
    </row>
    <row r="203" spans="16:49" x14ac:dyDescent="0.25">
      <c r="P203">
        <v>202</v>
      </c>
      <c r="Q203" t="s">
        <v>68</v>
      </c>
      <c r="R203" t="s">
        <v>69</v>
      </c>
      <c r="S203">
        <v>16</v>
      </c>
      <c r="T203" t="s">
        <v>70</v>
      </c>
      <c r="U203" t="s">
        <v>71</v>
      </c>
      <c r="V203" t="s">
        <v>83</v>
      </c>
      <c r="W203" t="s">
        <v>90</v>
      </c>
      <c r="X203" t="s">
        <v>95</v>
      </c>
      <c r="Y203" t="s">
        <v>85</v>
      </c>
      <c r="Z203" t="s">
        <v>85</v>
      </c>
      <c r="AA203" t="s">
        <v>98</v>
      </c>
      <c r="AB203" t="s">
        <v>77</v>
      </c>
      <c r="AC203" t="s">
        <v>87</v>
      </c>
      <c r="AD203" t="s">
        <v>79</v>
      </c>
      <c r="AE203">
        <v>0</v>
      </c>
      <c r="AF203" t="s">
        <v>80</v>
      </c>
      <c r="AG203" t="s">
        <v>80</v>
      </c>
      <c r="AH203" t="s">
        <v>80</v>
      </c>
      <c r="AI203" t="s">
        <v>80</v>
      </c>
      <c r="AJ203" t="s">
        <v>80</v>
      </c>
      <c r="AK203" t="s">
        <v>80</v>
      </c>
      <c r="AL203" t="s">
        <v>81</v>
      </c>
      <c r="AM203" t="s">
        <v>81</v>
      </c>
      <c r="AN203">
        <v>4</v>
      </c>
      <c r="AO203">
        <v>4</v>
      </c>
      <c r="AP203">
        <v>3</v>
      </c>
      <c r="AQ203">
        <v>1</v>
      </c>
      <c r="AR203">
        <v>3</v>
      </c>
      <c r="AS203">
        <v>4</v>
      </c>
      <c r="AT203">
        <v>6</v>
      </c>
      <c r="AU203" t="s">
        <v>106</v>
      </c>
      <c r="AV203">
        <v>10</v>
      </c>
      <c r="AW203">
        <v>10</v>
      </c>
    </row>
    <row r="204" spans="16:49" x14ac:dyDescent="0.25">
      <c r="P204">
        <v>203</v>
      </c>
      <c r="Q204" t="s">
        <v>68</v>
      </c>
      <c r="R204" t="s">
        <v>69</v>
      </c>
      <c r="S204">
        <v>17</v>
      </c>
      <c r="T204" t="s">
        <v>70</v>
      </c>
      <c r="U204" t="s">
        <v>71</v>
      </c>
      <c r="V204" t="s">
        <v>83</v>
      </c>
      <c r="W204" t="s">
        <v>84</v>
      </c>
      <c r="X204" t="s">
        <v>84</v>
      </c>
      <c r="Y204" t="s">
        <v>85</v>
      </c>
      <c r="Z204" t="s">
        <v>85</v>
      </c>
      <c r="AA204" t="s">
        <v>76</v>
      </c>
      <c r="AB204" t="s">
        <v>77</v>
      </c>
      <c r="AC204" t="s">
        <v>87</v>
      </c>
      <c r="AD204" t="s">
        <v>79</v>
      </c>
      <c r="AE204">
        <v>0</v>
      </c>
      <c r="AF204" t="s">
        <v>81</v>
      </c>
      <c r="AG204" t="s">
        <v>80</v>
      </c>
      <c r="AH204" t="s">
        <v>80</v>
      </c>
      <c r="AI204" t="s">
        <v>81</v>
      </c>
      <c r="AJ204" t="s">
        <v>81</v>
      </c>
      <c r="AK204" t="s">
        <v>80</v>
      </c>
      <c r="AL204" t="s">
        <v>81</v>
      </c>
      <c r="AM204" t="s">
        <v>81</v>
      </c>
      <c r="AN204">
        <v>4</v>
      </c>
      <c r="AO204">
        <v>4</v>
      </c>
      <c r="AP204">
        <v>4</v>
      </c>
      <c r="AQ204">
        <v>1</v>
      </c>
      <c r="AR204">
        <v>3</v>
      </c>
      <c r="AS204">
        <v>1</v>
      </c>
      <c r="AT204">
        <v>4</v>
      </c>
      <c r="AU204" t="s">
        <v>109</v>
      </c>
      <c r="AV204">
        <v>9</v>
      </c>
      <c r="AW204">
        <v>10</v>
      </c>
    </row>
    <row r="205" spans="16:49" x14ac:dyDescent="0.25">
      <c r="P205">
        <v>204</v>
      </c>
      <c r="Q205" t="s">
        <v>68</v>
      </c>
      <c r="R205" t="s">
        <v>69</v>
      </c>
      <c r="S205">
        <v>17</v>
      </c>
      <c r="T205" t="s">
        <v>107</v>
      </c>
      <c r="U205" t="s">
        <v>71</v>
      </c>
      <c r="V205" t="s">
        <v>83</v>
      </c>
      <c r="W205" t="s">
        <v>90</v>
      </c>
      <c r="X205" t="s">
        <v>90</v>
      </c>
      <c r="Y205" t="s">
        <v>85</v>
      </c>
      <c r="Z205" t="s">
        <v>85</v>
      </c>
      <c r="AA205" t="s">
        <v>98</v>
      </c>
      <c r="AB205" t="s">
        <v>77</v>
      </c>
      <c r="AC205" t="s">
        <v>87</v>
      </c>
      <c r="AD205" t="s">
        <v>104</v>
      </c>
      <c r="AE205">
        <v>0</v>
      </c>
      <c r="AF205" t="s">
        <v>81</v>
      </c>
      <c r="AG205" t="s">
        <v>80</v>
      </c>
      <c r="AH205" t="s">
        <v>81</v>
      </c>
      <c r="AI205" t="s">
        <v>81</v>
      </c>
      <c r="AJ205" t="s">
        <v>80</v>
      </c>
      <c r="AK205" t="s">
        <v>80</v>
      </c>
      <c r="AL205" t="s">
        <v>80</v>
      </c>
      <c r="AM205" t="s">
        <v>81</v>
      </c>
      <c r="AN205">
        <v>5</v>
      </c>
      <c r="AO205">
        <v>3</v>
      </c>
      <c r="AP205">
        <v>2</v>
      </c>
      <c r="AQ205">
        <v>1</v>
      </c>
      <c r="AR205">
        <v>2</v>
      </c>
      <c r="AS205">
        <v>3</v>
      </c>
      <c r="AT205">
        <v>18</v>
      </c>
      <c r="AU205" t="s">
        <v>89</v>
      </c>
      <c r="AV205">
        <v>6</v>
      </c>
      <c r="AW205">
        <v>6</v>
      </c>
    </row>
    <row r="206" spans="16:49" x14ac:dyDescent="0.25">
      <c r="P206">
        <v>205</v>
      </c>
      <c r="Q206" t="s">
        <v>68</v>
      </c>
      <c r="R206" t="s">
        <v>69</v>
      </c>
      <c r="S206">
        <v>16</v>
      </c>
      <c r="T206" t="s">
        <v>107</v>
      </c>
      <c r="U206" t="s">
        <v>71</v>
      </c>
      <c r="V206" t="s">
        <v>83</v>
      </c>
      <c r="W206" t="s">
        <v>90</v>
      </c>
      <c r="X206" t="s">
        <v>90</v>
      </c>
      <c r="Y206" t="s">
        <v>91</v>
      </c>
      <c r="Z206" t="s">
        <v>91</v>
      </c>
      <c r="AA206" t="s">
        <v>98</v>
      </c>
      <c r="AB206" t="s">
        <v>77</v>
      </c>
      <c r="AC206" t="s">
        <v>78</v>
      </c>
      <c r="AD206" t="s">
        <v>112</v>
      </c>
      <c r="AE206">
        <v>0</v>
      </c>
      <c r="AF206" t="s">
        <v>81</v>
      </c>
      <c r="AG206" t="s">
        <v>80</v>
      </c>
      <c r="AH206" t="s">
        <v>80</v>
      </c>
      <c r="AI206" t="s">
        <v>80</v>
      </c>
      <c r="AJ206" t="s">
        <v>81</v>
      </c>
      <c r="AK206" t="s">
        <v>80</v>
      </c>
      <c r="AL206" t="s">
        <v>80</v>
      </c>
      <c r="AM206" t="s">
        <v>81</v>
      </c>
      <c r="AN206">
        <v>5</v>
      </c>
      <c r="AO206">
        <v>3</v>
      </c>
      <c r="AP206">
        <v>5</v>
      </c>
      <c r="AQ206">
        <v>1</v>
      </c>
      <c r="AR206">
        <v>1</v>
      </c>
      <c r="AS206">
        <v>5</v>
      </c>
      <c r="AT206">
        <v>6</v>
      </c>
      <c r="AU206" t="s">
        <v>102</v>
      </c>
      <c r="AV206">
        <v>10</v>
      </c>
      <c r="AW206">
        <v>11</v>
      </c>
    </row>
    <row r="207" spans="16:49" x14ac:dyDescent="0.25">
      <c r="P207">
        <v>206</v>
      </c>
      <c r="Q207" t="s">
        <v>68</v>
      </c>
      <c r="R207" t="s">
        <v>69</v>
      </c>
      <c r="S207">
        <v>17</v>
      </c>
      <c r="T207" t="s">
        <v>70</v>
      </c>
      <c r="U207" t="s">
        <v>71</v>
      </c>
      <c r="V207" t="s">
        <v>83</v>
      </c>
      <c r="W207" t="s">
        <v>95</v>
      </c>
      <c r="X207" t="s">
        <v>73</v>
      </c>
      <c r="Y207" t="s">
        <v>74</v>
      </c>
      <c r="Z207" t="s">
        <v>91</v>
      </c>
      <c r="AA207" t="s">
        <v>92</v>
      </c>
      <c r="AB207" t="s">
        <v>77</v>
      </c>
      <c r="AC207" t="s">
        <v>87</v>
      </c>
      <c r="AD207" t="s">
        <v>93</v>
      </c>
      <c r="AE207">
        <v>1</v>
      </c>
      <c r="AF207" t="s">
        <v>81</v>
      </c>
      <c r="AG207" t="s">
        <v>80</v>
      </c>
      <c r="AH207" t="s">
        <v>80</v>
      </c>
      <c r="AI207" t="s">
        <v>81</v>
      </c>
      <c r="AJ207" t="s">
        <v>80</v>
      </c>
      <c r="AK207" t="s">
        <v>80</v>
      </c>
      <c r="AL207" t="s">
        <v>80</v>
      </c>
      <c r="AM207" t="s">
        <v>80</v>
      </c>
      <c r="AN207">
        <v>4</v>
      </c>
      <c r="AO207">
        <v>4</v>
      </c>
      <c r="AP207">
        <v>3</v>
      </c>
      <c r="AQ207">
        <v>3</v>
      </c>
      <c r="AR207">
        <v>4</v>
      </c>
      <c r="AS207">
        <v>5</v>
      </c>
      <c r="AT207">
        <v>28</v>
      </c>
      <c r="AU207" t="s">
        <v>102</v>
      </c>
      <c r="AV207">
        <v>9</v>
      </c>
      <c r="AW207">
        <v>9</v>
      </c>
    </row>
    <row r="208" spans="16:49" x14ac:dyDescent="0.25">
      <c r="P208">
        <v>207</v>
      </c>
      <c r="Q208" t="s">
        <v>68</v>
      </c>
      <c r="R208" t="s">
        <v>69</v>
      </c>
      <c r="S208">
        <v>16</v>
      </c>
      <c r="T208" t="s">
        <v>70</v>
      </c>
      <c r="U208" t="s">
        <v>71</v>
      </c>
      <c r="V208" t="s">
        <v>72</v>
      </c>
      <c r="W208" t="s">
        <v>95</v>
      </c>
      <c r="X208" t="s">
        <v>84</v>
      </c>
      <c r="Y208" t="s">
        <v>91</v>
      </c>
      <c r="Z208" t="s">
        <v>85</v>
      </c>
      <c r="AA208" t="s">
        <v>76</v>
      </c>
      <c r="AB208" t="s">
        <v>77</v>
      </c>
      <c r="AC208" t="s">
        <v>87</v>
      </c>
      <c r="AD208" t="s">
        <v>79</v>
      </c>
      <c r="AE208">
        <v>3</v>
      </c>
      <c r="AF208" t="s">
        <v>81</v>
      </c>
      <c r="AG208" t="s">
        <v>80</v>
      </c>
      <c r="AH208" t="s">
        <v>80</v>
      </c>
      <c r="AI208" t="s">
        <v>81</v>
      </c>
      <c r="AJ208" t="s">
        <v>80</v>
      </c>
      <c r="AK208" t="s">
        <v>80</v>
      </c>
      <c r="AL208" t="s">
        <v>80</v>
      </c>
      <c r="AM208" t="s">
        <v>81</v>
      </c>
      <c r="AN208">
        <v>2</v>
      </c>
      <c r="AO208">
        <v>3</v>
      </c>
      <c r="AP208">
        <v>3</v>
      </c>
      <c r="AQ208">
        <v>2</v>
      </c>
      <c r="AR208">
        <v>2</v>
      </c>
      <c r="AS208">
        <v>4</v>
      </c>
      <c r="AT208">
        <v>5</v>
      </c>
      <c r="AU208" t="s">
        <v>89</v>
      </c>
      <c r="AV208">
        <v>7</v>
      </c>
      <c r="AW208">
        <v>7</v>
      </c>
    </row>
    <row r="209" spans="16:49" x14ac:dyDescent="0.25">
      <c r="P209">
        <v>208</v>
      </c>
      <c r="Q209" t="s">
        <v>68</v>
      </c>
      <c r="R209" t="s">
        <v>69</v>
      </c>
      <c r="S209">
        <v>16</v>
      </c>
      <c r="T209" t="s">
        <v>70</v>
      </c>
      <c r="U209" t="s">
        <v>71</v>
      </c>
      <c r="V209" t="s">
        <v>83</v>
      </c>
      <c r="W209" t="s">
        <v>73</v>
      </c>
      <c r="X209" t="s">
        <v>95</v>
      </c>
      <c r="Y209" t="s">
        <v>75</v>
      </c>
      <c r="Z209" t="s">
        <v>85</v>
      </c>
      <c r="AA209" t="s">
        <v>85</v>
      </c>
      <c r="AB209" t="s">
        <v>77</v>
      </c>
      <c r="AC209" t="s">
        <v>87</v>
      </c>
      <c r="AD209" t="s">
        <v>79</v>
      </c>
      <c r="AE209">
        <v>0</v>
      </c>
      <c r="AF209" t="s">
        <v>81</v>
      </c>
      <c r="AG209" t="s">
        <v>81</v>
      </c>
      <c r="AH209" t="s">
        <v>80</v>
      </c>
      <c r="AI209" t="s">
        <v>80</v>
      </c>
      <c r="AJ209" t="s">
        <v>80</v>
      </c>
      <c r="AK209" t="s">
        <v>80</v>
      </c>
      <c r="AL209" t="s">
        <v>80</v>
      </c>
      <c r="AM209" t="s">
        <v>80</v>
      </c>
      <c r="AN209">
        <v>1</v>
      </c>
      <c r="AO209">
        <v>3</v>
      </c>
      <c r="AP209">
        <v>2</v>
      </c>
      <c r="AQ209">
        <v>1</v>
      </c>
      <c r="AR209">
        <v>1</v>
      </c>
      <c r="AS209">
        <v>1</v>
      </c>
      <c r="AT209">
        <v>10</v>
      </c>
      <c r="AU209" t="s">
        <v>108</v>
      </c>
      <c r="AV209">
        <v>12</v>
      </c>
      <c r="AW209">
        <v>13</v>
      </c>
    </row>
    <row r="210" spans="16:49" x14ac:dyDescent="0.25">
      <c r="P210">
        <v>209</v>
      </c>
      <c r="Q210" t="s">
        <v>68</v>
      </c>
      <c r="R210" t="s">
        <v>69</v>
      </c>
      <c r="S210">
        <v>16</v>
      </c>
      <c r="T210" t="s">
        <v>70</v>
      </c>
      <c r="U210" t="s">
        <v>71</v>
      </c>
      <c r="V210" t="s">
        <v>83</v>
      </c>
      <c r="W210" t="s">
        <v>84</v>
      </c>
      <c r="X210" t="s">
        <v>84</v>
      </c>
      <c r="Y210" t="s">
        <v>74</v>
      </c>
      <c r="Z210" t="s">
        <v>85</v>
      </c>
      <c r="AA210" t="s">
        <v>92</v>
      </c>
      <c r="AB210" t="s">
        <v>77</v>
      </c>
      <c r="AC210" t="s">
        <v>78</v>
      </c>
      <c r="AD210" t="s">
        <v>104</v>
      </c>
      <c r="AE210">
        <v>0</v>
      </c>
      <c r="AF210" t="s">
        <v>81</v>
      </c>
      <c r="AG210" t="s">
        <v>80</v>
      </c>
      <c r="AH210" t="s">
        <v>80</v>
      </c>
      <c r="AI210" t="s">
        <v>81</v>
      </c>
      <c r="AJ210" t="s">
        <v>80</v>
      </c>
      <c r="AK210" t="s">
        <v>80</v>
      </c>
      <c r="AL210" t="s">
        <v>81</v>
      </c>
      <c r="AM210" t="s">
        <v>81</v>
      </c>
      <c r="AN210">
        <v>4</v>
      </c>
      <c r="AO210">
        <v>3</v>
      </c>
      <c r="AP210">
        <v>2</v>
      </c>
      <c r="AQ210">
        <v>1</v>
      </c>
      <c r="AR210">
        <v>4</v>
      </c>
      <c r="AS210">
        <v>5</v>
      </c>
      <c r="AT210">
        <v>6</v>
      </c>
      <c r="AU210" t="s">
        <v>109</v>
      </c>
      <c r="AV210">
        <v>9</v>
      </c>
      <c r="AW210">
        <v>10</v>
      </c>
    </row>
    <row r="211" spans="16:49" x14ac:dyDescent="0.25">
      <c r="P211">
        <v>210</v>
      </c>
      <c r="Q211" t="s">
        <v>68</v>
      </c>
      <c r="R211" t="s">
        <v>69</v>
      </c>
      <c r="S211">
        <v>17</v>
      </c>
      <c r="T211" t="s">
        <v>107</v>
      </c>
      <c r="U211" t="s">
        <v>71</v>
      </c>
      <c r="V211" t="s">
        <v>83</v>
      </c>
      <c r="W211" t="s">
        <v>73</v>
      </c>
      <c r="X211" t="s">
        <v>95</v>
      </c>
      <c r="Y211" t="s">
        <v>75</v>
      </c>
      <c r="Z211" t="s">
        <v>85</v>
      </c>
      <c r="AA211" t="s">
        <v>98</v>
      </c>
      <c r="AB211" t="s">
        <v>77</v>
      </c>
      <c r="AC211" t="s">
        <v>78</v>
      </c>
      <c r="AD211" t="s">
        <v>93</v>
      </c>
      <c r="AE211">
        <v>0</v>
      </c>
      <c r="AF211" t="s">
        <v>81</v>
      </c>
      <c r="AG211" t="s">
        <v>80</v>
      </c>
      <c r="AH211" t="s">
        <v>80</v>
      </c>
      <c r="AI211" t="s">
        <v>80</v>
      </c>
      <c r="AJ211" t="s">
        <v>80</v>
      </c>
      <c r="AK211" t="s">
        <v>80</v>
      </c>
      <c r="AL211" t="s">
        <v>80</v>
      </c>
      <c r="AM211" t="s">
        <v>80</v>
      </c>
      <c r="AN211">
        <v>4</v>
      </c>
      <c r="AO211">
        <v>4</v>
      </c>
      <c r="AP211">
        <v>2</v>
      </c>
      <c r="AQ211">
        <v>1</v>
      </c>
      <c r="AR211">
        <v>1</v>
      </c>
      <c r="AS211">
        <v>4</v>
      </c>
      <c r="AT211">
        <v>6</v>
      </c>
      <c r="AU211" t="s">
        <v>89</v>
      </c>
      <c r="AV211">
        <v>7</v>
      </c>
      <c r="AW211">
        <v>7</v>
      </c>
    </row>
    <row r="212" spans="16:49" x14ac:dyDescent="0.25">
      <c r="P212">
        <v>211</v>
      </c>
      <c r="Q212" t="s">
        <v>68</v>
      </c>
      <c r="R212" t="s">
        <v>69</v>
      </c>
      <c r="S212">
        <v>19</v>
      </c>
      <c r="T212" t="s">
        <v>70</v>
      </c>
      <c r="U212" t="s">
        <v>71</v>
      </c>
      <c r="V212" t="s">
        <v>83</v>
      </c>
      <c r="W212" t="s">
        <v>95</v>
      </c>
      <c r="X212" t="s">
        <v>95</v>
      </c>
      <c r="Y212" t="s">
        <v>85</v>
      </c>
      <c r="Z212" t="s">
        <v>85</v>
      </c>
      <c r="AA212" t="s">
        <v>98</v>
      </c>
      <c r="AB212" t="s">
        <v>85</v>
      </c>
      <c r="AC212" t="s">
        <v>87</v>
      </c>
      <c r="AD212" t="s">
        <v>112</v>
      </c>
      <c r="AE212">
        <v>0</v>
      </c>
      <c r="AF212" t="s">
        <v>81</v>
      </c>
      <c r="AG212" t="s">
        <v>80</v>
      </c>
      <c r="AH212" t="s">
        <v>80</v>
      </c>
      <c r="AI212" t="s">
        <v>80</v>
      </c>
      <c r="AJ212" t="s">
        <v>80</v>
      </c>
      <c r="AK212" t="s">
        <v>80</v>
      </c>
      <c r="AL212" t="s">
        <v>80</v>
      </c>
      <c r="AM212" t="s">
        <v>81</v>
      </c>
      <c r="AN212">
        <v>4</v>
      </c>
      <c r="AO212">
        <v>3</v>
      </c>
      <c r="AP212">
        <v>3</v>
      </c>
      <c r="AQ212">
        <v>1</v>
      </c>
      <c r="AR212">
        <v>2</v>
      </c>
      <c r="AS212">
        <v>3</v>
      </c>
      <c r="AT212">
        <v>10</v>
      </c>
      <c r="AU212" t="s">
        <v>106</v>
      </c>
      <c r="AV212">
        <v>8</v>
      </c>
      <c r="AW212">
        <v>8</v>
      </c>
    </row>
    <row r="213" spans="16:49" x14ac:dyDescent="0.25">
      <c r="P213">
        <v>212</v>
      </c>
      <c r="Q213" t="s">
        <v>68</v>
      </c>
      <c r="R213" t="s">
        <v>97</v>
      </c>
      <c r="S213">
        <v>17</v>
      </c>
      <c r="T213" t="s">
        <v>70</v>
      </c>
      <c r="U213" t="s">
        <v>88</v>
      </c>
      <c r="V213" t="s">
        <v>83</v>
      </c>
      <c r="W213" t="s">
        <v>73</v>
      </c>
      <c r="X213" t="s">
        <v>73</v>
      </c>
      <c r="Y213" t="s">
        <v>91</v>
      </c>
      <c r="Z213" t="s">
        <v>85</v>
      </c>
      <c r="AA213" t="s">
        <v>92</v>
      </c>
      <c r="AB213" t="s">
        <v>77</v>
      </c>
      <c r="AC213" t="s">
        <v>87</v>
      </c>
      <c r="AD213" t="s">
        <v>79</v>
      </c>
      <c r="AE213">
        <v>0</v>
      </c>
      <c r="AF213" t="s">
        <v>81</v>
      </c>
      <c r="AG213" t="s">
        <v>80</v>
      </c>
      <c r="AH213" t="s">
        <v>80</v>
      </c>
      <c r="AI213" t="s">
        <v>81</v>
      </c>
      <c r="AJ213" t="s">
        <v>80</v>
      </c>
      <c r="AK213" t="s">
        <v>80</v>
      </c>
      <c r="AL213" t="s">
        <v>80</v>
      </c>
      <c r="AM213" t="s">
        <v>80</v>
      </c>
      <c r="AN213">
        <v>5</v>
      </c>
      <c r="AO213">
        <v>3</v>
      </c>
      <c r="AP213">
        <v>5</v>
      </c>
      <c r="AQ213">
        <v>4</v>
      </c>
      <c r="AR213">
        <v>5</v>
      </c>
      <c r="AS213">
        <v>3</v>
      </c>
      <c r="AT213">
        <v>13</v>
      </c>
      <c r="AU213" t="s">
        <v>99</v>
      </c>
      <c r="AV213">
        <v>12</v>
      </c>
      <c r="AW213">
        <v>13</v>
      </c>
    </row>
    <row r="214" spans="16:49" x14ac:dyDescent="0.25">
      <c r="P214">
        <v>213</v>
      </c>
      <c r="Q214" t="s">
        <v>68</v>
      </c>
      <c r="R214" t="s">
        <v>69</v>
      </c>
      <c r="S214">
        <v>16</v>
      </c>
      <c r="T214" t="s">
        <v>70</v>
      </c>
      <c r="U214" t="s">
        <v>71</v>
      </c>
      <c r="V214" t="s">
        <v>72</v>
      </c>
      <c r="W214" t="s">
        <v>90</v>
      </c>
      <c r="X214" t="s">
        <v>90</v>
      </c>
      <c r="Y214" t="s">
        <v>85</v>
      </c>
      <c r="Z214" t="s">
        <v>85</v>
      </c>
      <c r="AA214" t="s">
        <v>98</v>
      </c>
      <c r="AB214" t="s">
        <v>77</v>
      </c>
      <c r="AC214" t="s">
        <v>87</v>
      </c>
      <c r="AD214" t="s">
        <v>79</v>
      </c>
      <c r="AE214">
        <v>0</v>
      </c>
      <c r="AF214" t="s">
        <v>80</v>
      </c>
      <c r="AG214" t="s">
        <v>80</v>
      </c>
      <c r="AH214" t="s">
        <v>80</v>
      </c>
      <c r="AI214" t="s">
        <v>81</v>
      </c>
      <c r="AJ214" t="s">
        <v>80</v>
      </c>
      <c r="AK214" t="s">
        <v>80</v>
      </c>
      <c r="AL214" t="s">
        <v>80</v>
      </c>
      <c r="AM214" t="s">
        <v>81</v>
      </c>
      <c r="AN214">
        <v>3</v>
      </c>
      <c r="AO214">
        <v>3</v>
      </c>
      <c r="AP214">
        <v>4</v>
      </c>
      <c r="AQ214">
        <v>1</v>
      </c>
      <c r="AR214">
        <v>1</v>
      </c>
      <c r="AS214">
        <v>4</v>
      </c>
      <c r="AT214">
        <v>0</v>
      </c>
      <c r="AU214" t="s">
        <v>99</v>
      </c>
      <c r="AV214">
        <v>13</v>
      </c>
      <c r="AW214">
        <v>14</v>
      </c>
    </row>
    <row r="215" spans="16:49" x14ac:dyDescent="0.25">
      <c r="P215">
        <v>214</v>
      </c>
      <c r="Q215" t="s">
        <v>68</v>
      </c>
      <c r="R215" t="s">
        <v>97</v>
      </c>
      <c r="S215">
        <v>18</v>
      </c>
      <c r="T215" t="s">
        <v>70</v>
      </c>
      <c r="U215" t="s">
        <v>71</v>
      </c>
      <c r="V215" t="s">
        <v>83</v>
      </c>
      <c r="W215" t="s">
        <v>90</v>
      </c>
      <c r="X215" t="s">
        <v>90</v>
      </c>
      <c r="Y215" t="s">
        <v>91</v>
      </c>
      <c r="Z215" t="s">
        <v>85</v>
      </c>
      <c r="AA215" t="s">
        <v>92</v>
      </c>
      <c r="AB215" t="s">
        <v>77</v>
      </c>
      <c r="AC215" t="s">
        <v>87</v>
      </c>
      <c r="AD215" t="s">
        <v>79</v>
      </c>
      <c r="AE215">
        <v>1</v>
      </c>
      <c r="AF215" t="s">
        <v>81</v>
      </c>
      <c r="AG215" t="s">
        <v>80</v>
      </c>
      <c r="AH215" t="s">
        <v>80</v>
      </c>
      <c r="AI215" t="s">
        <v>80</v>
      </c>
      <c r="AJ215" t="s">
        <v>80</v>
      </c>
      <c r="AK215" t="s">
        <v>80</v>
      </c>
      <c r="AL215" t="s">
        <v>80</v>
      </c>
      <c r="AM215" t="s">
        <v>81</v>
      </c>
      <c r="AN215">
        <v>4</v>
      </c>
      <c r="AO215">
        <v>4</v>
      </c>
      <c r="AP215">
        <v>4</v>
      </c>
      <c r="AQ215">
        <v>2</v>
      </c>
      <c r="AR215">
        <v>4</v>
      </c>
      <c r="AS215">
        <v>5</v>
      </c>
      <c r="AT215">
        <v>15</v>
      </c>
      <c r="AU215" t="s">
        <v>96</v>
      </c>
      <c r="AV215">
        <v>7</v>
      </c>
      <c r="AW215">
        <v>8</v>
      </c>
    </row>
    <row r="216" spans="16:49" x14ac:dyDescent="0.25">
      <c r="P216">
        <v>215</v>
      </c>
      <c r="Q216" t="s">
        <v>68</v>
      </c>
      <c r="R216" t="s">
        <v>69</v>
      </c>
      <c r="S216">
        <v>17</v>
      </c>
      <c r="T216" t="s">
        <v>107</v>
      </c>
      <c r="U216" t="s">
        <v>88</v>
      </c>
      <c r="V216" t="s">
        <v>83</v>
      </c>
      <c r="W216" t="s">
        <v>73</v>
      </c>
      <c r="X216" t="s">
        <v>73</v>
      </c>
      <c r="Y216" t="s">
        <v>91</v>
      </c>
      <c r="Z216" t="s">
        <v>85</v>
      </c>
      <c r="AA216" t="s">
        <v>85</v>
      </c>
      <c r="AB216" t="s">
        <v>77</v>
      </c>
      <c r="AC216" t="s">
        <v>87</v>
      </c>
      <c r="AD216" t="s">
        <v>104</v>
      </c>
      <c r="AE216">
        <v>0</v>
      </c>
      <c r="AF216" t="s">
        <v>81</v>
      </c>
      <c r="AG216" t="s">
        <v>80</v>
      </c>
      <c r="AH216" t="s">
        <v>80</v>
      </c>
      <c r="AI216" t="s">
        <v>81</v>
      </c>
      <c r="AJ216" t="s">
        <v>80</v>
      </c>
      <c r="AK216" t="s">
        <v>80</v>
      </c>
      <c r="AL216" t="s">
        <v>81</v>
      </c>
      <c r="AM216" t="s">
        <v>81</v>
      </c>
      <c r="AN216">
        <v>5</v>
      </c>
      <c r="AO216">
        <v>2</v>
      </c>
      <c r="AP216">
        <v>1</v>
      </c>
      <c r="AQ216">
        <v>1</v>
      </c>
      <c r="AR216">
        <v>2</v>
      </c>
      <c r="AS216">
        <v>3</v>
      </c>
      <c r="AT216">
        <v>12</v>
      </c>
      <c r="AU216" t="s">
        <v>106</v>
      </c>
      <c r="AV216">
        <v>10</v>
      </c>
      <c r="AW216">
        <v>10</v>
      </c>
    </row>
    <row r="217" spans="16:49" x14ac:dyDescent="0.25">
      <c r="P217">
        <v>216</v>
      </c>
      <c r="Q217" t="s">
        <v>68</v>
      </c>
      <c r="R217" t="s">
        <v>69</v>
      </c>
      <c r="S217">
        <v>17</v>
      </c>
      <c r="T217" t="s">
        <v>70</v>
      </c>
      <c r="U217" t="s">
        <v>88</v>
      </c>
      <c r="V217" t="s">
        <v>83</v>
      </c>
      <c r="W217" t="s">
        <v>95</v>
      </c>
      <c r="X217" t="s">
        <v>90</v>
      </c>
      <c r="Y217" t="s">
        <v>85</v>
      </c>
      <c r="Z217" t="s">
        <v>85</v>
      </c>
      <c r="AA217" t="s">
        <v>98</v>
      </c>
      <c r="AB217" t="s">
        <v>77</v>
      </c>
      <c r="AC217" t="s">
        <v>78</v>
      </c>
      <c r="AD217" t="s">
        <v>79</v>
      </c>
      <c r="AE217">
        <v>0</v>
      </c>
      <c r="AF217" t="s">
        <v>81</v>
      </c>
      <c r="AG217" t="s">
        <v>81</v>
      </c>
      <c r="AH217" t="s">
        <v>80</v>
      </c>
      <c r="AI217" t="s">
        <v>81</v>
      </c>
      <c r="AJ217" t="s">
        <v>80</v>
      </c>
      <c r="AK217" t="s">
        <v>80</v>
      </c>
      <c r="AL217" t="s">
        <v>80</v>
      </c>
      <c r="AM217" t="s">
        <v>81</v>
      </c>
      <c r="AN217">
        <v>4</v>
      </c>
      <c r="AO217">
        <v>4</v>
      </c>
      <c r="AP217">
        <v>4</v>
      </c>
      <c r="AQ217">
        <v>1</v>
      </c>
      <c r="AR217">
        <v>3</v>
      </c>
      <c r="AS217">
        <v>1</v>
      </c>
      <c r="AT217">
        <v>2</v>
      </c>
      <c r="AU217" t="s">
        <v>101</v>
      </c>
      <c r="AV217">
        <v>15</v>
      </c>
      <c r="AW217">
        <v>15</v>
      </c>
    </row>
    <row r="218" spans="16:49" x14ac:dyDescent="0.25">
      <c r="P218">
        <v>217</v>
      </c>
      <c r="Q218" t="s">
        <v>68</v>
      </c>
      <c r="R218" t="s">
        <v>69</v>
      </c>
      <c r="S218">
        <v>17</v>
      </c>
      <c r="T218" t="s">
        <v>70</v>
      </c>
      <c r="U218" t="s">
        <v>71</v>
      </c>
      <c r="V218" t="s">
        <v>83</v>
      </c>
      <c r="W218" t="s">
        <v>73</v>
      </c>
      <c r="X218" t="s">
        <v>95</v>
      </c>
      <c r="Y218" t="s">
        <v>85</v>
      </c>
      <c r="Z218" t="s">
        <v>85</v>
      </c>
      <c r="AA218" t="s">
        <v>98</v>
      </c>
      <c r="AB218" t="s">
        <v>77</v>
      </c>
      <c r="AC218" t="s">
        <v>87</v>
      </c>
      <c r="AD218" t="s">
        <v>79</v>
      </c>
      <c r="AE218">
        <v>2</v>
      </c>
      <c r="AF218" t="s">
        <v>81</v>
      </c>
      <c r="AG218" t="s">
        <v>81</v>
      </c>
      <c r="AH218" t="s">
        <v>80</v>
      </c>
      <c r="AI218" t="s">
        <v>81</v>
      </c>
      <c r="AJ218" t="s">
        <v>80</v>
      </c>
      <c r="AK218" t="s">
        <v>80</v>
      </c>
      <c r="AL218" t="s">
        <v>80</v>
      </c>
      <c r="AM218" t="s">
        <v>80</v>
      </c>
      <c r="AN218">
        <v>3</v>
      </c>
      <c r="AO218">
        <v>4</v>
      </c>
      <c r="AP218">
        <v>5</v>
      </c>
      <c r="AQ218">
        <v>2</v>
      </c>
      <c r="AR218">
        <v>4</v>
      </c>
      <c r="AS218">
        <v>1</v>
      </c>
      <c r="AT218">
        <v>22</v>
      </c>
      <c r="AU218" t="s">
        <v>96</v>
      </c>
      <c r="AV218">
        <v>6</v>
      </c>
      <c r="AW218">
        <v>4</v>
      </c>
    </row>
    <row r="219" spans="16:49" x14ac:dyDescent="0.25">
      <c r="P219">
        <v>218</v>
      </c>
      <c r="Q219" t="s">
        <v>68</v>
      </c>
      <c r="R219" t="s">
        <v>97</v>
      </c>
      <c r="S219">
        <v>18</v>
      </c>
      <c r="T219" t="s">
        <v>70</v>
      </c>
      <c r="U219" t="s">
        <v>88</v>
      </c>
      <c r="V219" t="s">
        <v>83</v>
      </c>
      <c r="W219" t="s">
        <v>95</v>
      </c>
      <c r="X219" t="s">
        <v>95</v>
      </c>
      <c r="Y219" t="s">
        <v>91</v>
      </c>
      <c r="Z219" t="s">
        <v>63</v>
      </c>
      <c r="AA219" t="s">
        <v>92</v>
      </c>
      <c r="AB219" t="s">
        <v>86</v>
      </c>
      <c r="AC219" t="s">
        <v>87</v>
      </c>
      <c r="AD219" t="s">
        <v>79</v>
      </c>
      <c r="AE219">
        <v>1</v>
      </c>
      <c r="AF219" t="s">
        <v>81</v>
      </c>
      <c r="AG219" t="s">
        <v>80</v>
      </c>
      <c r="AH219" t="s">
        <v>80</v>
      </c>
      <c r="AI219" t="s">
        <v>81</v>
      </c>
      <c r="AJ219" t="s">
        <v>80</v>
      </c>
      <c r="AK219" t="s">
        <v>80</v>
      </c>
      <c r="AL219" t="s">
        <v>80</v>
      </c>
      <c r="AM219" t="s">
        <v>81</v>
      </c>
      <c r="AN219">
        <v>3</v>
      </c>
      <c r="AO219">
        <v>2</v>
      </c>
      <c r="AP219">
        <v>4</v>
      </c>
      <c r="AQ219">
        <v>2</v>
      </c>
      <c r="AR219">
        <v>4</v>
      </c>
      <c r="AS219">
        <v>4</v>
      </c>
      <c r="AT219">
        <v>13</v>
      </c>
      <c r="AU219" t="s">
        <v>96</v>
      </c>
      <c r="AV219">
        <v>6</v>
      </c>
      <c r="AW219">
        <v>8</v>
      </c>
    </row>
    <row r="220" spans="16:49" x14ac:dyDescent="0.25">
      <c r="P220">
        <v>219</v>
      </c>
      <c r="Q220" t="s">
        <v>68</v>
      </c>
      <c r="R220" t="s">
        <v>69</v>
      </c>
      <c r="S220">
        <v>17</v>
      </c>
      <c r="T220" t="s">
        <v>70</v>
      </c>
      <c r="U220" t="s">
        <v>71</v>
      </c>
      <c r="V220" t="s">
        <v>83</v>
      </c>
      <c r="W220" t="s">
        <v>90</v>
      </c>
      <c r="X220" t="s">
        <v>95</v>
      </c>
      <c r="Y220" t="s">
        <v>74</v>
      </c>
      <c r="Z220" t="s">
        <v>85</v>
      </c>
      <c r="AA220" t="s">
        <v>92</v>
      </c>
      <c r="AB220" t="s">
        <v>86</v>
      </c>
      <c r="AC220" t="s">
        <v>78</v>
      </c>
      <c r="AD220" t="s">
        <v>104</v>
      </c>
      <c r="AE220">
        <v>0</v>
      </c>
      <c r="AF220" t="s">
        <v>81</v>
      </c>
      <c r="AG220" t="s">
        <v>80</v>
      </c>
      <c r="AH220" t="s">
        <v>80</v>
      </c>
      <c r="AI220" t="s">
        <v>81</v>
      </c>
      <c r="AJ220" t="s">
        <v>80</v>
      </c>
      <c r="AK220" t="s">
        <v>80</v>
      </c>
      <c r="AL220" t="s">
        <v>81</v>
      </c>
      <c r="AM220" t="s">
        <v>81</v>
      </c>
      <c r="AN220">
        <v>3</v>
      </c>
      <c r="AO220">
        <v>3</v>
      </c>
      <c r="AP220">
        <v>3</v>
      </c>
      <c r="AQ220">
        <v>1</v>
      </c>
      <c r="AR220">
        <v>4</v>
      </c>
      <c r="AS220">
        <v>3</v>
      </c>
      <c r="AT220">
        <v>3</v>
      </c>
      <c r="AU220" t="s">
        <v>89</v>
      </c>
      <c r="AV220">
        <v>7</v>
      </c>
      <c r="AW220">
        <v>8</v>
      </c>
    </row>
    <row r="221" spans="16:49" x14ac:dyDescent="0.25">
      <c r="P221">
        <v>220</v>
      </c>
      <c r="Q221" t="s">
        <v>68</v>
      </c>
      <c r="R221" t="s">
        <v>69</v>
      </c>
      <c r="S221">
        <v>17</v>
      </c>
      <c r="T221" t="s">
        <v>70</v>
      </c>
      <c r="U221" t="s">
        <v>71</v>
      </c>
      <c r="V221" t="s">
        <v>83</v>
      </c>
      <c r="W221" t="s">
        <v>90</v>
      </c>
      <c r="X221" t="s">
        <v>90</v>
      </c>
      <c r="Y221" t="s">
        <v>74</v>
      </c>
      <c r="Z221" t="s">
        <v>74</v>
      </c>
      <c r="AA221" t="s">
        <v>76</v>
      </c>
      <c r="AB221" t="s">
        <v>77</v>
      </c>
      <c r="AC221" t="s">
        <v>87</v>
      </c>
      <c r="AD221" t="s">
        <v>93</v>
      </c>
      <c r="AE221">
        <v>0</v>
      </c>
      <c r="AF221" t="s">
        <v>81</v>
      </c>
      <c r="AG221" t="s">
        <v>80</v>
      </c>
      <c r="AH221" t="s">
        <v>80</v>
      </c>
      <c r="AI221" t="s">
        <v>80</v>
      </c>
      <c r="AJ221" t="s">
        <v>80</v>
      </c>
      <c r="AK221" t="s">
        <v>80</v>
      </c>
      <c r="AL221" t="s">
        <v>80</v>
      </c>
      <c r="AM221" t="s">
        <v>81</v>
      </c>
      <c r="AN221">
        <v>4</v>
      </c>
      <c r="AO221">
        <v>3</v>
      </c>
      <c r="AP221">
        <v>3</v>
      </c>
      <c r="AQ221">
        <v>1</v>
      </c>
      <c r="AR221">
        <v>1</v>
      </c>
      <c r="AS221">
        <v>4</v>
      </c>
      <c r="AT221">
        <v>4</v>
      </c>
      <c r="AU221" t="s">
        <v>109</v>
      </c>
      <c r="AV221">
        <v>10</v>
      </c>
      <c r="AW221">
        <v>10</v>
      </c>
    </row>
    <row r="222" spans="16:49" x14ac:dyDescent="0.25">
      <c r="P222">
        <v>221</v>
      </c>
      <c r="Q222" t="s">
        <v>68</v>
      </c>
      <c r="R222" t="s">
        <v>69</v>
      </c>
      <c r="S222">
        <v>17</v>
      </c>
      <c r="T222" t="s">
        <v>107</v>
      </c>
      <c r="U222" t="s">
        <v>71</v>
      </c>
      <c r="V222" t="s">
        <v>83</v>
      </c>
      <c r="W222" t="s">
        <v>90</v>
      </c>
      <c r="X222" t="s">
        <v>84</v>
      </c>
      <c r="Y222" t="s">
        <v>74</v>
      </c>
      <c r="Z222" t="s">
        <v>91</v>
      </c>
      <c r="AA222" t="s">
        <v>98</v>
      </c>
      <c r="AB222" t="s">
        <v>77</v>
      </c>
      <c r="AC222" t="s">
        <v>78</v>
      </c>
      <c r="AD222" t="s">
        <v>79</v>
      </c>
      <c r="AE222">
        <v>0</v>
      </c>
      <c r="AF222" t="s">
        <v>81</v>
      </c>
      <c r="AG222" t="s">
        <v>80</v>
      </c>
      <c r="AH222" t="s">
        <v>81</v>
      </c>
      <c r="AI222" t="s">
        <v>80</v>
      </c>
      <c r="AJ222" t="s">
        <v>80</v>
      </c>
      <c r="AK222" t="s">
        <v>80</v>
      </c>
      <c r="AL222" t="s">
        <v>80</v>
      </c>
      <c r="AM222" t="s">
        <v>81</v>
      </c>
      <c r="AN222">
        <v>4</v>
      </c>
      <c r="AO222">
        <v>2</v>
      </c>
      <c r="AP222">
        <v>5</v>
      </c>
      <c r="AQ222">
        <v>1</v>
      </c>
      <c r="AR222">
        <v>2</v>
      </c>
      <c r="AS222">
        <v>5</v>
      </c>
      <c r="AT222">
        <v>2</v>
      </c>
      <c r="AU222" t="s">
        <v>96</v>
      </c>
      <c r="AV222">
        <v>6</v>
      </c>
      <c r="AW222">
        <v>6</v>
      </c>
    </row>
    <row r="223" spans="16:49" x14ac:dyDescent="0.25">
      <c r="P223">
        <v>222</v>
      </c>
      <c r="Q223" t="s">
        <v>68</v>
      </c>
      <c r="R223" t="s">
        <v>69</v>
      </c>
      <c r="S223">
        <v>17</v>
      </c>
      <c r="T223" t="s">
        <v>70</v>
      </c>
      <c r="U223" t="s">
        <v>71</v>
      </c>
      <c r="V223" t="s">
        <v>83</v>
      </c>
      <c r="W223" t="s">
        <v>84</v>
      </c>
      <c r="X223" t="s">
        <v>84</v>
      </c>
      <c r="Y223" t="s">
        <v>74</v>
      </c>
      <c r="Z223" t="s">
        <v>85</v>
      </c>
      <c r="AA223" t="s">
        <v>98</v>
      </c>
      <c r="AB223" t="s">
        <v>77</v>
      </c>
      <c r="AC223" t="s">
        <v>87</v>
      </c>
      <c r="AD223" t="s">
        <v>93</v>
      </c>
      <c r="AE223">
        <v>1</v>
      </c>
      <c r="AF223" t="s">
        <v>81</v>
      </c>
      <c r="AG223" t="s">
        <v>80</v>
      </c>
      <c r="AH223" t="s">
        <v>81</v>
      </c>
      <c r="AI223" t="s">
        <v>80</v>
      </c>
      <c r="AJ223" t="s">
        <v>80</v>
      </c>
      <c r="AK223" t="s">
        <v>80</v>
      </c>
      <c r="AL223" t="s">
        <v>81</v>
      </c>
      <c r="AM223" t="s">
        <v>80</v>
      </c>
      <c r="AN223">
        <v>4</v>
      </c>
      <c r="AO223">
        <v>3</v>
      </c>
      <c r="AP223">
        <v>4</v>
      </c>
      <c r="AQ223">
        <v>1</v>
      </c>
      <c r="AR223">
        <v>1</v>
      </c>
      <c r="AS223">
        <v>5</v>
      </c>
      <c r="AT223">
        <v>0</v>
      </c>
      <c r="AU223" t="s">
        <v>96</v>
      </c>
      <c r="AV223">
        <v>5</v>
      </c>
      <c r="AW223">
        <v>0</v>
      </c>
    </row>
    <row r="224" spans="16:49" x14ac:dyDescent="0.25">
      <c r="P224">
        <v>223</v>
      </c>
      <c r="Q224" t="s">
        <v>68</v>
      </c>
      <c r="R224" t="s">
        <v>69</v>
      </c>
      <c r="S224">
        <v>16</v>
      </c>
      <c r="T224" t="s">
        <v>70</v>
      </c>
      <c r="U224" t="s">
        <v>71</v>
      </c>
      <c r="V224" t="s">
        <v>83</v>
      </c>
      <c r="W224" t="s">
        <v>90</v>
      </c>
      <c r="X224" t="s">
        <v>95</v>
      </c>
      <c r="Y224" t="s">
        <v>91</v>
      </c>
      <c r="Z224" t="s">
        <v>75</v>
      </c>
      <c r="AA224" t="s">
        <v>85</v>
      </c>
      <c r="AB224" t="s">
        <v>77</v>
      </c>
      <c r="AC224" t="s">
        <v>87</v>
      </c>
      <c r="AD224" t="s">
        <v>79</v>
      </c>
      <c r="AE224">
        <v>0</v>
      </c>
      <c r="AF224" t="s">
        <v>80</v>
      </c>
      <c r="AG224" t="s">
        <v>81</v>
      </c>
      <c r="AH224" t="s">
        <v>81</v>
      </c>
      <c r="AI224" t="s">
        <v>81</v>
      </c>
      <c r="AJ224" t="s">
        <v>80</v>
      </c>
      <c r="AK224" t="s">
        <v>80</v>
      </c>
      <c r="AL224" t="s">
        <v>80</v>
      </c>
      <c r="AM224" t="s">
        <v>81</v>
      </c>
      <c r="AN224">
        <v>2</v>
      </c>
      <c r="AO224">
        <v>3</v>
      </c>
      <c r="AP224">
        <v>1</v>
      </c>
      <c r="AQ224">
        <v>1</v>
      </c>
      <c r="AR224">
        <v>1</v>
      </c>
      <c r="AS224">
        <v>3</v>
      </c>
      <c r="AT224">
        <v>2</v>
      </c>
      <c r="AU224" t="s">
        <v>100</v>
      </c>
      <c r="AV224">
        <v>16</v>
      </c>
      <c r="AW224">
        <v>17</v>
      </c>
    </row>
    <row r="225" spans="16:49" x14ac:dyDescent="0.25">
      <c r="P225">
        <v>224</v>
      </c>
      <c r="Q225" t="s">
        <v>68</v>
      </c>
      <c r="R225" t="s">
        <v>97</v>
      </c>
      <c r="S225">
        <v>18</v>
      </c>
      <c r="T225" t="s">
        <v>70</v>
      </c>
      <c r="U225" t="s">
        <v>71</v>
      </c>
      <c r="V225" t="s">
        <v>83</v>
      </c>
      <c r="W225" t="s">
        <v>90</v>
      </c>
      <c r="X225" t="s">
        <v>90</v>
      </c>
      <c r="Y225" t="s">
        <v>85</v>
      </c>
      <c r="Z225" t="s">
        <v>85</v>
      </c>
      <c r="AA225" t="s">
        <v>92</v>
      </c>
      <c r="AB225" t="s">
        <v>77</v>
      </c>
      <c r="AC225" t="s">
        <v>78</v>
      </c>
      <c r="AD225" t="s">
        <v>79</v>
      </c>
      <c r="AE225">
        <v>0</v>
      </c>
      <c r="AF225" t="s">
        <v>81</v>
      </c>
      <c r="AG225" t="s">
        <v>80</v>
      </c>
      <c r="AH225" t="s">
        <v>80</v>
      </c>
      <c r="AI225" t="s">
        <v>81</v>
      </c>
      <c r="AJ225" t="s">
        <v>80</v>
      </c>
      <c r="AK225" t="s">
        <v>80</v>
      </c>
      <c r="AL225" t="s">
        <v>80</v>
      </c>
      <c r="AM225" t="s">
        <v>81</v>
      </c>
      <c r="AN225">
        <v>3</v>
      </c>
      <c r="AO225">
        <v>3</v>
      </c>
      <c r="AP225">
        <v>3</v>
      </c>
      <c r="AQ225">
        <v>5</v>
      </c>
      <c r="AR225">
        <v>5</v>
      </c>
      <c r="AS225">
        <v>4</v>
      </c>
      <c r="AT225">
        <v>0</v>
      </c>
      <c r="AU225" t="s">
        <v>99</v>
      </c>
      <c r="AV225">
        <v>13</v>
      </c>
      <c r="AW225">
        <v>13</v>
      </c>
    </row>
    <row r="226" spans="16:49" x14ac:dyDescent="0.25">
      <c r="P226">
        <v>225</v>
      </c>
      <c r="Q226" t="s">
        <v>68</v>
      </c>
      <c r="R226" t="s">
        <v>69</v>
      </c>
      <c r="S226">
        <v>16</v>
      </c>
      <c r="T226" t="s">
        <v>70</v>
      </c>
      <c r="U226" t="s">
        <v>71</v>
      </c>
      <c r="V226" t="s">
        <v>83</v>
      </c>
      <c r="W226" t="s">
        <v>73</v>
      </c>
      <c r="X226" t="s">
        <v>73</v>
      </c>
      <c r="Y226" t="s">
        <v>75</v>
      </c>
      <c r="Z226" t="s">
        <v>91</v>
      </c>
      <c r="AA226" t="s">
        <v>92</v>
      </c>
      <c r="AB226" t="s">
        <v>77</v>
      </c>
      <c r="AC226" t="s">
        <v>87</v>
      </c>
      <c r="AD226" t="s">
        <v>93</v>
      </c>
      <c r="AE226">
        <v>0</v>
      </c>
      <c r="AF226" t="s">
        <v>81</v>
      </c>
      <c r="AG226" t="s">
        <v>80</v>
      </c>
      <c r="AH226" t="s">
        <v>81</v>
      </c>
      <c r="AI226" t="s">
        <v>80</v>
      </c>
      <c r="AJ226" t="s">
        <v>81</v>
      </c>
      <c r="AK226" t="s">
        <v>80</v>
      </c>
      <c r="AL226" t="s">
        <v>80</v>
      </c>
      <c r="AM226" t="s">
        <v>81</v>
      </c>
      <c r="AN226">
        <v>5</v>
      </c>
      <c r="AO226">
        <v>3</v>
      </c>
      <c r="AP226">
        <v>2</v>
      </c>
      <c r="AQ226">
        <v>1</v>
      </c>
      <c r="AR226">
        <v>1</v>
      </c>
      <c r="AS226">
        <v>5</v>
      </c>
      <c r="AT226">
        <v>0</v>
      </c>
      <c r="AU226" t="s">
        <v>105</v>
      </c>
      <c r="AV226">
        <v>13</v>
      </c>
      <c r="AW226">
        <v>14</v>
      </c>
    </row>
    <row r="227" spans="16:49" x14ac:dyDescent="0.25">
      <c r="P227">
        <v>226</v>
      </c>
      <c r="Q227" t="s">
        <v>68</v>
      </c>
      <c r="R227" t="s">
        <v>69</v>
      </c>
      <c r="S227">
        <v>18</v>
      </c>
      <c r="T227" t="s">
        <v>107</v>
      </c>
      <c r="U227" t="s">
        <v>71</v>
      </c>
      <c r="V227" t="s">
        <v>83</v>
      </c>
      <c r="W227" t="s">
        <v>95</v>
      </c>
      <c r="X227" t="s">
        <v>84</v>
      </c>
      <c r="Y227" t="s">
        <v>85</v>
      </c>
      <c r="Z227" t="s">
        <v>85</v>
      </c>
      <c r="AA227" t="s">
        <v>98</v>
      </c>
      <c r="AB227" t="s">
        <v>77</v>
      </c>
      <c r="AC227" t="s">
        <v>87</v>
      </c>
      <c r="AD227" t="s">
        <v>79</v>
      </c>
      <c r="AE227">
        <v>1</v>
      </c>
      <c r="AF227" t="s">
        <v>81</v>
      </c>
      <c r="AG227" t="s">
        <v>81</v>
      </c>
      <c r="AH227" t="s">
        <v>81</v>
      </c>
      <c r="AI227" t="s">
        <v>80</v>
      </c>
      <c r="AJ227" t="s">
        <v>80</v>
      </c>
      <c r="AK227" t="s">
        <v>80</v>
      </c>
      <c r="AL227" t="s">
        <v>80</v>
      </c>
      <c r="AM227" t="s">
        <v>80</v>
      </c>
      <c r="AN227">
        <v>5</v>
      </c>
      <c r="AO227">
        <v>3</v>
      </c>
      <c r="AP227">
        <v>3</v>
      </c>
      <c r="AQ227">
        <v>1</v>
      </c>
      <c r="AR227">
        <v>1</v>
      </c>
      <c r="AS227">
        <v>4</v>
      </c>
      <c r="AT227">
        <v>16</v>
      </c>
      <c r="AU227" t="s">
        <v>109</v>
      </c>
      <c r="AV227">
        <v>8</v>
      </c>
      <c r="AW227">
        <v>7</v>
      </c>
    </row>
    <row r="228" spans="16:49" x14ac:dyDescent="0.25">
      <c r="P228">
        <v>227</v>
      </c>
      <c r="Q228" t="s">
        <v>68</v>
      </c>
      <c r="R228" t="s">
        <v>69</v>
      </c>
      <c r="S228">
        <v>17</v>
      </c>
      <c r="T228" t="s">
        <v>70</v>
      </c>
      <c r="U228" t="s">
        <v>71</v>
      </c>
      <c r="V228" t="s">
        <v>83</v>
      </c>
      <c r="W228" t="s">
        <v>95</v>
      </c>
      <c r="X228" t="s">
        <v>90</v>
      </c>
      <c r="Y228" t="s">
        <v>85</v>
      </c>
      <c r="Z228" t="s">
        <v>85</v>
      </c>
      <c r="AA228" t="s">
        <v>76</v>
      </c>
      <c r="AB228" t="s">
        <v>77</v>
      </c>
      <c r="AC228" t="s">
        <v>87</v>
      </c>
      <c r="AD228" t="s">
        <v>79</v>
      </c>
      <c r="AE228">
        <v>0</v>
      </c>
      <c r="AF228" t="s">
        <v>81</v>
      </c>
      <c r="AG228" t="s">
        <v>81</v>
      </c>
      <c r="AH228" t="s">
        <v>81</v>
      </c>
      <c r="AI228" t="s">
        <v>80</v>
      </c>
      <c r="AJ228" t="s">
        <v>81</v>
      </c>
      <c r="AK228" t="s">
        <v>80</v>
      </c>
      <c r="AL228" t="s">
        <v>80</v>
      </c>
      <c r="AM228" t="s">
        <v>81</v>
      </c>
      <c r="AN228">
        <v>5</v>
      </c>
      <c r="AO228">
        <v>3</v>
      </c>
      <c r="AP228">
        <v>4</v>
      </c>
      <c r="AQ228">
        <v>1</v>
      </c>
      <c r="AR228">
        <v>3</v>
      </c>
      <c r="AS228">
        <v>3</v>
      </c>
      <c r="AT228">
        <v>10</v>
      </c>
      <c r="AU228" t="s">
        <v>100</v>
      </c>
      <c r="AV228">
        <v>15</v>
      </c>
      <c r="AW228">
        <v>15</v>
      </c>
    </row>
    <row r="229" spans="16:49" x14ac:dyDescent="0.25">
      <c r="P229">
        <v>228</v>
      </c>
      <c r="Q229" t="s">
        <v>68</v>
      </c>
      <c r="R229" t="s">
        <v>97</v>
      </c>
      <c r="S229">
        <v>17</v>
      </c>
      <c r="T229" t="s">
        <v>70</v>
      </c>
      <c r="U229" t="s">
        <v>88</v>
      </c>
      <c r="V229" t="s">
        <v>83</v>
      </c>
      <c r="W229" t="s">
        <v>90</v>
      </c>
      <c r="X229" t="s">
        <v>95</v>
      </c>
      <c r="Y229" t="s">
        <v>91</v>
      </c>
      <c r="Z229" t="s">
        <v>91</v>
      </c>
      <c r="AA229" t="s">
        <v>98</v>
      </c>
      <c r="AB229" t="s">
        <v>86</v>
      </c>
      <c r="AC229" t="s">
        <v>87</v>
      </c>
      <c r="AD229" t="s">
        <v>79</v>
      </c>
      <c r="AE229">
        <v>0</v>
      </c>
      <c r="AF229" t="s">
        <v>81</v>
      </c>
      <c r="AG229" t="s">
        <v>80</v>
      </c>
      <c r="AH229" t="s">
        <v>80</v>
      </c>
      <c r="AI229" t="s">
        <v>81</v>
      </c>
      <c r="AJ229" t="s">
        <v>81</v>
      </c>
      <c r="AK229" t="s">
        <v>80</v>
      </c>
      <c r="AL229" t="s">
        <v>80</v>
      </c>
      <c r="AM229" t="s">
        <v>81</v>
      </c>
      <c r="AN229">
        <v>5</v>
      </c>
      <c r="AO229">
        <v>3</v>
      </c>
      <c r="AP229">
        <v>3</v>
      </c>
      <c r="AQ229">
        <v>1</v>
      </c>
      <c r="AR229">
        <v>3</v>
      </c>
      <c r="AS229">
        <v>3</v>
      </c>
      <c r="AT229">
        <v>2</v>
      </c>
      <c r="AU229" t="s">
        <v>99</v>
      </c>
      <c r="AV229">
        <v>11</v>
      </c>
      <c r="AW229">
        <v>12</v>
      </c>
    </row>
    <row r="230" spans="16:49" x14ac:dyDescent="0.25">
      <c r="P230">
        <v>229</v>
      </c>
      <c r="Q230" t="s">
        <v>68</v>
      </c>
      <c r="R230" t="s">
        <v>97</v>
      </c>
      <c r="S230">
        <v>18</v>
      </c>
      <c r="T230" t="s">
        <v>70</v>
      </c>
      <c r="U230" t="s">
        <v>88</v>
      </c>
      <c r="V230" t="s">
        <v>83</v>
      </c>
      <c r="W230" t="s">
        <v>90</v>
      </c>
      <c r="X230" t="s">
        <v>84</v>
      </c>
      <c r="Y230" t="s">
        <v>74</v>
      </c>
      <c r="Z230" t="s">
        <v>85</v>
      </c>
      <c r="AA230" t="s">
        <v>76</v>
      </c>
      <c r="AB230" t="s">
        <v>77</v>
      </c>
      <c r="AC230" t="s">
        <v>113</v>
      </c>
      <c r="AD230" t="s">
        <v>79</v>
      </c>
      <c r="AE230">
        <v>0</v>
      </c>
      <c r="AF230" t="s">
        <v>80</v>
      </c>
      <c r="AG230" t="s">
        <v>80</v>
      </c>
      <c r="AH230" t="s">
        <v>80</v>
      </c>
      <c r="AI230" t="s">
        <v>80</v>
      </c>
      <c r="AJ230" t="s">
        <v>80</v>
      </c>
      <c r="AK230" t="s">
        <v>80</v>
      </c>
      <c r="AL230" t="s">
        <v>80</v>
      </c>
      <c r="AM230" t="s">
        <v>80</v>
      </c>
      <c r="AN230">
        <v>4</v>
      </c>
      <c r="AO230">
        <v>3</v>
      </c>
      <c r="AP230">
        <v>2</v>
      </c>
      <c r="AQ230">
        <v>4</v>
      </c>
      <c r="AR230">
        <v>5</v>
      </c>
      <c r="AS230">
        <v>3</v>
      </c>
      <c r="AT230">
        <v>14</v>
      </c>
      <c r="AU230" t="s">
        <v>102</v>
      </c>
      <c r="AV230">
        <v>8</v>
      </c>
      <c r="AW230">
        <v>9</v>
      </c>
    </row>
    <row r="231" spans="16:49" x14ac:dyDescent="0.25">
      <c r="P231">
        <v>230</v>
      </c>
      <c r="Q231" t="s">
        <v>68</v>
      </c>
      <c r="R231" t="s">
        <v>69</v>
      </c>
      <c r="S231">
        <v>17</v>
      </c>
      <c r="T231" t="s">
        <v>70</v>
      </c>
      <c r="U231" t="s">
        <v>71</v>
      </c>
      <c r="V231" t="s">
        <v>72</v>
      </c>
      <c r="W231" t="s">
        <v>90</v>
      </c>
      <c r="X231" t="s">
        <v>84</v>
      </c>
      <c r="Y231" t="s">
        <v>85</v>
      </c>
      <c r="Z231" t="s">
        <v>85</v>
      </c>
      <c r="AA231" t="s">
        <v>76</v>
      </c>
      <c r="AB231" t="s">
        <v>77</v>
      </c>
      <c r="AC231" t="s">
        <v>78</v>
      </c>
      <c r="AD231" t="s">
        <v>93</v>
      </c>
      <c r="AE231">
        <v>0</v>
      </c>
      <c r="AF231" t="s">
        <v>81</v>
      </c>
      <c r="AG231" t="s">
        <v>81</v>
      </c>
      <c r="AH231" t="s">
        <v>81</v>
      </c>
      <c r="AI231" t="s">
        <v>80</v>
      </c>
      <c r="AJ231" t="s">
        <v>80</v>
      </c>
      <c r="AK231" t="s">
        <v>80</v>
      </c>
      <c r="AL231" t="s">
        <v>80</v>
      </c>
      <c r="AM231" t="s">
        <v>80</v>
      </c>
      <c r="AN231">
        <v>3</v>
      </c>
      <c r="AO231">
        <v>2</v>
      </c>
      <c r="AP231">
        <v>3</v>
      </c>
      <c r="AQ231">
        <v>1</v>
      </c>
      <c r="AR231">
        <v>2</v>
      </c>
      <c r="AS231">
        <v>3</v>
      </c>
      <c r="AT231">
        <v>10</v>
      </c>
      <c r="AU231" t="s">
        <v>99</v>
      </c>
      <c r="AV231">
        <v>10</v>
      </c>
      <c r="AW231">
        <v>12</v>
      </c>
    </row>
    <row r="232" spans="16:49" x14ac:dyDescent="0.25">
      <c r="P232">
        <v>231</v>
      </c>
      <c r="Q232" t="s">
        <v>68</v>
      </c>
      <c r="R232" t="s">
        <v>69</v>
      </c>
      <c r="S232">
        <v>17</v>
      </c>
      <c r="T232" t="s">
        <v>70</v>
      </c>
      <c r="U232" t="s">
        <v>88</v>
      </c>
      <c r="V232" t="s">
        <v>83</v>
      </c>
      <c r="W232" t="s">
        <v>73</v>
      </c>
      <c r="X232" t="s">
        <v>95</v>
      </c>
      <c r="Y232" t="s">
        <v>63</v>
      </c>
      <c r="Z232" t="s">
        <v>85</v>
      </c>
      <c r="AA232" t="s">
        <v>98</v>
      </c>
      <c r="AB232" t="s">
        <v>86</v>
      </c>
      <c r="AC232" t="s">
        <v>87</v>
      </c>
      <c r="AD232" t="s">
        <v>79</v>
      </c>
      <c r="AE232">
        <v>0</v>
      </c>
      <c r="AF232" t="s">
        <v>81</v>
      </c>
      <c r="AG232" t="s">
        <v>81</v>
      </c>
      <c r="AH232" t="s">
        <v>81</v>
      </c>
      <c r="AI232" t="s">
        <v>80</v>
      </c>
      <c r="AJ232" t="s">
        <v>80</v>
      </c>
      <c r="AK232" t="s">
        <v>80</v>
      </c>
      <c r="AL232" t="s">
        <v>80</v>
      </c>
      <c r="AM232" t="s">
        <v>80</v>
      </c>
      <c r="AN232">
        <v>3</v>
      </c>
      <c r="AO232">
        <v>2</v>
      </c>
      <c r="AP232">
        <v>3</v>
      </c>
      <c r="AQ232">
        <v>1</v>
      </c>
      <c r="AR232">
        <v>2</v>
      </c>
      <c r="AS232">
        <v>3</v>
      </c>
      <c r="AT232">
        <v>14</v>
      </c>
      <c r="AU232" t="s">
        <v>105</v>
      </c>
      <c r="AV232">
        <v>13</v>
      </c>
      <c r="AW232">
        <v>14</v>
      </c>
    </row>
    <row r="233" spans="16:49" x14ac:dyDescent="0.25">
      <c r="P233">
        <v>232</v>
      </c>
      <c r="Q233" t="s">
        <v>68</v>
      </c>
      <c r="R233" t="s">
        <v>97</v>
      </c>
      <c r="S233">
        <v>17</v>
      </c>
      <c r="T233" t="s">
        <v>107</v>
      </c>
      <c r="U233" t="s">
        <v>71</v>
      </c>
      <c r="V233" t="s">
        <v>83</v>
      </c>
      <c r="W233" t="s">
        <v>90</v>
      </c>
      <c r="X233" t="s">
        <v>90</v>
      </c>
      <c r="Y233" t="s">
        <v>85</v>
      </c>
      <c r="Z233" t="s">
        <v>85</v>
      </c>
      <c r="AA233" t="s">
        <v>76</v>
      </c>
      <c r="AB233" t="s">
        <v>86</v>
      </c>
      <c r="AC233" t="s">
        <v>78</v>
      </c>
      <c r="AD233" t="s">
        <v>79</v>
      </c>
      <c r="AE233">
        <v>0</v>
      </c>
      <c r="AF233" t="s">
        <v>81</v>
      </c>
      <c r="AG233" t="s">
        <v>80</v>
      </c>
      <c r="AH233" t="s">
        <v>80</v>
      </c>
      <c r="AI233" t="s">
        <v>80</v>
      </c>
      <c r="AJ233" t="s">
        <v>80</v>
      </c>
      <c r="AK233" t="s">
        <v>80</v>
      </c>
      <c r="AL233" t="s">
        <v>80</v>
      </c>
      <c r="AM233" t="s">
        <v>81</v>
      </c>
      <c r="AN233">
        <v>4</v>
      </c>
      <c r="AO233">
        <v>5</v>
      </c>
      <c r="AP233">
        <v>2</v>
      </c>
      <c r="AQ233">
        <v>1</v>
      </c>
      <c r="AR233">
        <v>1</v>
      </c>
      <c r="AS233">
        <v>1</v>
      </c>
      <c r="AT233">
        <v>4</v>
      </c>
      <c r="AU233" t="s">
        <v>108</v>
      </c>
      <c r="AV233">
        <v>11</v>
      </c>
      <c r="AW233">
        <v>11</v>
      </c>
    </row>
    <row r="234" spans="16:49" x14ac:dyDescent="0.25">
      <c r="P234">
        <v>233</v>
      </c>
      <c r="Q234" t="s">
        <v>68</v>
      </c>
      <c r="R234" t="s">
        <v>97</v>
      </c>
      <c r="S234">
        <v>17</v>
      </c>
      <c r="T234" t="s">
        <v>70</v>
      </c>
      <c r="U234" t="s">
        <v>71</v>
      </c>
      <c r="V234" t="s">
        <v>83</v>
      </c>
      <c r="W234" t="s">
        <v>73</v>
      </c>
      <c r="X234" t="s">
        <v>73</v>
      </c>
      <c r="Y234" t="s">
        <v>75</v>
      </c>
      <c r="Z234" t="s">
        <v>75</v>
      </c>
      <c r="AA234" t="s">
        <v>98</v>
      </c>
      <c r="AB234" t="s">
        <v>77</v>
      </c>
      <c r="AC234" t="s">
        <v>87</v>
      </c>
      <c r="AD234" t="s">
        <v>79</v>
      </c>
      <c r="AE234">
        <v>0</v>
      </c>
      <c r="AF234" t="s">
        <v>80</v>
      </c>
      <c r="AG234" t="s">
        <v>80</v>
      </c>
      <c r="AH234" t="s">
        <v>81</v>
      </c>
      <c r="AI234" t="s">
        <v>80</v>
      </c>
      <c r="AJ234" t="s">
        <v>80</v>
      </c>
      <c r="AK234" t="s">
        <v>80</v>
      </c>
      <c r="AL234" t="s">
        <v>80</v>
      </c>
      <c r="AM234" t="s">
        <v>80</v>
      </c>
      <c r="AN234">
        <v>4</v>
      </c>
      <c r="AO234">
        <v>5</v>
      </c>
      <c r="AP234">
        <v>5</v>
      </c>
      <c r="AQ234">
        <v>1</v>
      </c>
      <c r="AR234">
        <v>3</v>
      </c>
      <c r="AS234">
        <v>2</v>
      </c>
      <c r="AT234">
        <v>14</v>
      </c>
      <c r="AU234" t="s">
        <v>108</v>
      </c>
      <c r="AV234">
        <v>9</v>
      </c>
      <c r="AW234">
        <v>9</v>
      </c>
    </row>
    <row r="235" spans="16:49" x14ac:dyDescent="0.25">
      <c r="P235">
        <v>234</v>
      </c>
      <c r="Q235" t="s">
        <v>68</v>
      </c>
      <c r="R235" t="s">
        <v>97</v>
      </c>
      <c r="S235">
        <v>16</v>
      </c>
      <c r="T235" t="s">
        <v>70</v>
      </c>
      <c r="U235" t="s">
        <v>71</v>
      </c>
      <c r="V235" t="s">
        <v>83</v>
      </c>
      <c r="W235" t="s">
        <v>73</v>
      </c>
      <c r="X235" t="s">
        <v>73</v>
      </c>
      <c r="Y235" t="s">
        <v>63</v>
      </c>
      <c r="Z235" t="s">
        <v>85</v>
      </c>
      <c r="AA235" t="s">
        <v>98</v>
      </c>
      <c r="AB235" t="s">
        <v>86</v>
      </c>
      <c r="AC235" t="s">
        <v>87</v>
      </c>
      <c r="AD235" t="s">
        <v>79</v>
      </c>
      <c r="AE235">
        <v>0</v>
      </c>
      <c r="AF235" t="s">
        <v>81</v>
      </c>
      <c r="AG235" t="s">
        <v>80</v>
      </c>
      <c r="AH235" t="s">
        <v>80</v>
      </c>
      <c r="AI235" t="s">
        <v>80</v>
      </c>
      <c r="AJ235" t="s">
        <v>80</v>
      </c>
      <c r="AK235" t="s">
        <v>80</v>
      </c>
      <c r="AL235" t="s">
        <v>80</v>
      </c>
      <c r="AM235" t="s">
        <v>81</v>
      </c>
      <c r="AN235">
        <v>4</v>
      </c>
      <c r="AO235">
        <v>2</v>
      </c>
      <c r="AP235">
        <v>4</v>
      </c>
      <c r="AQ235">
        <v>2</v>
      </c>
      <c r="AR235">
        <v>4</v>
      </c>
      <c r="AS235">
        <v>1</v>
      </c>
      <c r="AT235">
        <v>2</v>
      </c>
      <c r="AU235" t="s">
        <v>101</v>
      </c>
      <c r="AV235">
        <v>13</v>
      </c>
      <c r="AW235">
        <v>13</v>
      </c>
    </row>
    <row r="236" spans="16:49" x14ac:dyDescent="0.25">
      <c r="P236">
        <v>235</v>
      </c>
      <c r="Q236" t="s">
        <v>68</v>
      </c>
      <c r="R236" t="s">
        <v>97</v>
      </c>
      <c r="S236">
        <v>16</v>
      </c>
      <c r="T236" t="s">
        <v>70</v>
      </c>
      <c r="U236" t="s">
        <v>88</v>
      </c>
      <c r="V236" t="s">
        <v>83</v>
      </c>
      <c r="W236" t="s">
        <v>84</v>
      </c>
      <c r="X236" t="s">
        <v>84</v>
      </c>
      <c r="Y236" t="s">
        <v>85</v>
      </c>
      <c r="Z236" t="s">
        <v>85</v>
      </c>
      <c r="AA236" t="s">
        <v>92</v>
      </c>
      <c r="AB236" t="s">
        <v>77</v>
      </c>
      <c r="AC236" t="s">
        <v>78</v>
      </c>
      <c r="AD236" t="s">
        <v>79</v>
      </c>
      <c r="AE236">
        <v>0</v>
      </c>
      <c r="AF236" t="s">
        <v>81</v>
      </c>
      <c r="AG236" t="s">
        <v>80</v>
      </c>
      <c r="AH236" t="s">
        <v>80</v>
      </c>
      <c r="AI236" t="s">
        <v>81</v>
      </c>
      <c r="AJ236" t="s">
        <v>80</v>
      </c>
      <c r="AK236" t="s">
        <v>80</v>
      </c>
      <c r="AL236" t="s">
        <v>80</v>
      </c>
      <c r="AM236" t="s">
        <v>81</v>
      </c>
      <c r="AN236">
        <v>3</v>
      </c>
      <c r="AO236">
        <v>4</v>
      </c>
      <c r="AP236">
        <v>2</v>
      </c>
      <c r="AQ236">
        <v>1</v>
      </c>
      <c r="AR236">
        <v>1</v>
      </c>
      <c r="AS236">
        <v>5</v>
      </c>
      <c r="AT236">
        <v>18</v>
      </c>
      <c r="AU236" t="s">
        <v>109</v>
      </c>
      <c r="AV236">
        <v>7</v>
      </c>
      <c r="AW236">
        <v>6</v>
      </c>
    </row>
    <row r="237" spans="16:49" x14ac:dyDescent="0.25">
      <c r="P237">
        <v>236</v>
      </c>
      <c r="Q237" t="s">
        <v>68</v>
      </c>
      <c r="R237" t="s">
        <v>97</v>
      </c>
      <c r="S237">
        <v>16</v>
      </c>
      <c r="T237" t="s">
        <v>70</v>
      </c>
      <c r="U237" t="s">
        <v>71</v>
      </c>
      <c r="V237" t="s">
        <v>83</v>
      </c>
      <c r="W237" t="s">
        <v>95</v>
      </c>
      <c r="X237" t="s">
        <v>90</v>
      </c>
      <c r="Y237" t="s">
        <v>74</v>
      </c>
      <c r="Z237" t="s">
        <v>85</v>
      </c>
      <c r="AA237" t="s">
        <v>98</v>
      </c>
      <c r="AB237" t="s">
        <v>77</v>
      </c>
      <c r="AC237" t="s">
        <v>78</v>
      </c>
      <c r="AD237" t="s">
        <v>93</v>
      </c>
      <c r="AE237">
        <v>0</v>
      </c>
      <c r="AF237" t="s">
        <v>81</v>
      </c>
      <c r="AG237" t="s">
        <v>81</v>
      </c>
      <c r="AH237" t="s">
        <v>81</v>
      </c>
      <c r="AI237" t="s">
        <v>80</v>
      </c>
      <c r="AJ237" t="s">
        <v>80</v>
      </c>
      <c r="AK237" t="s">
        <v>80</v>
      </c>
      <c r="AL237" t="s">
        <v>80</v>
      </c>
      <c r="AM237" t="s">
        <v>80</v>
      </c>
      <c r="AN237">
        <v>5</v>
      </c>
      <c r="AO237">
        <v>3</v>
      </c>
      <c r="AP237">
        <v>3</v>
      </c>
      <c r="AQ237">
        <v>1</v>
      </c>
      <c r="AR237">
        <v>3</v>
      </c>
      <c r="AS237">
        <v>2</v>
      </c>
      <c r="AT237">
        <v>10</v>
      </c>
      <c r="AU237" t="s">
        <v>108</v>
      </c>
      <c r="AV237">
        <v>9</v>
      </c>
      <c r="AW237">
        <v>10</v>
      </c>
    </row>
    <row r="238" spans="16:49" x14ac:dyDescent="0.25">
      <c r="P238">
        <v>237</v>
      </c>
      <c r="Q238" t="s">
        <v>68</v>
      </c>
      <c r="R238" t="s">
        <v>97</v>
      </c>
      <c r="S238">
        <v>17</v>
      </c>
      <c r="T238" t="s">
        <v>70</v>
      </c>
      <c r="U238" t="s">
        <v>88</v>
      </c>
      <c r="V238" t="s">
        <v>83</v>
      </c>
      <c r="W238" t="s">
        <v>90</v>
      </c>
      <c r="X238" t="s">
        <v>90</v>
      </c>
      <c r="Y238" t="s">
        <v>85</v>
      </c>
      <c r="Z238" t="s">
        <v>85</v>
      </c>
      <c r="AA238" t="s">
        <v>92</v>
      </c>
      <c r="AB238" t="s">
        <v>86</v>
      </c>
      <c r="AC238" t="s">
        <v>87</v>
      </c>
      <c r="AD238" t="s">
        <v>79</v>
      </c>
      <c r="AE238">
        <v>0</v>
      </c>
      <c r="AF238" t="s">
        <v>81</v>
      </c>
      <c r="AG238" t="s">
        <v>81</v>
      </c>
      <c r="AH238" t="s">
        <v>80</v>
      </c>
      <c r="AI238" t="s">
        <v>80</v>
      </c>
      <c r="AJ238" t="s">
        <v>81</v>
      </c>
      <c r="AK238" t="s">
        <v>80</v>
      </c>
      <c r="AL238" t="s">
        <v>80</v>
      </c>
      <c r="AM238" t="s">
        <v>80</v>
      </c>
      <c r="AN238">
        <v>4</v>
      </c>
      <c r="AO238">
        <v>4</v>
      </c>
      <c r="AP238">
        <v>2</v>
      </c>
      <c r="AQ238">
        <v>5</v>
      </c>
      <c r="AR238">
        <v>5</v>
      </c>
      <c r="AS238">
        <v>4</v>
      </c>
      <c r="AT238">
        <v>4</v>
      </c>
      <c r="AU238" t="s">
        <v>101</v>
      </c>
      <c r="AV238">
        <v>13</v>
      </c>
      <c r="AW238">
        <v>13</v>
      </c>
    </row>
    <row r="239" spans="16:49" x14ac:dyDescent="0.25">
      <c r="P239">
        <v>238</v>
      </c>
      <c r="Q239" t="s">
        <v>68</v>
      </c>
      <c r="R239" t="s">
        <v>69</v>
      </c>
      <c r="S239">
        <v>16</v>
      </c>
      <c r="T239" t="s">
        <v>70</v>
      </c>
      <c r="U239" t="s">
        <v>71</v>
      </c>
      <c r="V239" t="s">
        <v>83</v>
      </c>
      <c r="W239" t="s">
        <v>90</v>
      </c>
      <c r="X239" t="s">
        <v>84</v>
      </c>
      <c r="Y239" t="s">
        <v>85</v>
      </c>
      <c r="Z239" t="s">
        <v>85</v>
      </c>
      <c r="AA239" t="s">
        <v>92</v>
      </c>
      <c r="AB239" t="s">
        <v>77</v>
      </c>
      <c r="AC239" t="s">
        <v>87</v>
      </c>
      <c r="AD239" t="s">
        <v>104</v>
      </c>
      <c r="AE239">
        <v>0</v>
      </c>
      <c r="AF239" t="s">
        <v>81</v>
      </c>
      <c r="AG239" t="s">
        <v>81</v>
      </c>
      <c r="AH239" t="s">
        <v>81</v>
      </c>
      <c r="AI239" t="s">
        <v>81</v>
      </c>
      <c r="AJ239" t="s">
        <v>80</v>
      </c>
      <c r="AK239" t="s">
        <v>80</v>
      </c>
      <c r="AL239" t="s">
        <v>80</v>
      </c>
      <c r="AM239" t="s">
        <v>80</v>
      </c>
      <c r="AN239">
        <v>4</v>
      </c>
      <c r="AO239">
        <v>5</v>
      </c>
      <c r="AP239">
        <v>2</v>
      </c>
      <c r="AQ239">
        <v>1</v>
      </c>
      <c r="AR239">
        <v>1</v>
      </c>
      <c r="AS239">
        <v>5</v>
      </c>
      <c r="AT239">
        <v>20</v>
      </c>
      <c r="AU239" t="s">
        <v>105</v>
      </c>
      <c r="AV239">
        <v>12</v>
      </c>
      <c r="AW239">
        <v>12</v>
      </c>
    </row>
    <row r="240" spans="16:49" x14ac:dyDescent="0.25">
      <c r="P240">
        <v>239</v>
      </c>
      <c r="Q240" t="s">
        <v>68</v>
      </c>
      <c r="R240" t="s">
        <v>69</v>
      </c>
      <c r="S240">
        <v>17</v>
      </c>
      <c r="T240" t="s">
        <v>107</v>
      </c>
      <c r="U240" t="s">
        <v>71</v>
      </c>
      <c r="V240" t="s">
        <v>83</v>
      </c>
      <c r="W240" t="s">
        <v>90</v>
      </c>
      <c r="X240" t="s">
        <v>84</v>
      </c>
      <c r="Y240" t="s">
        <v>74</v>
      </c>
      <c r="Z240" t="s">
        <v>91</v>
      </c>
      <c r="AA240" t="s">
        <v>76</v>
      </c>
      <c r="AB240" t="s">
        <v>77</v>
      </c>
      <c r="AC240" t="s">
        <v>103</v>
      </c>
      <c r="AD240" t="s">
        <v>79</v>
      </c>
      <c r="AE240">
        <v>0</v>
      </c>
      <c r="AF240" t="s">
        <v>81</v>
      </c>
      <c r="AG240" t="s">
        <v>81</v>
      </c>
      <c r="AH240" t="s">
        <v>81</v>
      </c>
      <c r="AI240" t="s">
        <v>80</v>
      </c>
      <c r="AJ240" t="s">
        <v>80</v>
      </c>
      <c r="AK240" t="s">
        <v>80</v>
      </c>
      <c r="AL240" t="s">
        <v>81</v>
      </c>
      <c r="AM240" t="s">
        <v>81</v>
      </c>
      <c r="AN240">
        <v>2</v>
      </c>
      <c r="AO240">
        <v>1</v>
      </c>
      <c r="AP240">
        <v>1</v>
      </c>
      <c r="AQ240">
        <v>1</v>
      </c>
      <c r="AR240">
        <v>1</v>
      </c>
      <c r="AS240">
        <v>3</v>
      </c>
      <c r="AT240">
        <v>2</v>
      </c>
      <c r="AU240" t="s">
        <v>105</v>
      </c>
      <c r="AV240">
        <v>11</v>
      </c>
      <c r="AW240">
        <v>11</v>
      </c>
    </row>
    <row r="241" spans="16:49" x14ac:dyDescent="0.25">
      <c r="P241">
        <v>240</v>
      </c>
      <c r="Q241" t="s">
        <v>68</v>
      </c>
      <c r="R241" t="s">
        <v>97</v>
      </c>
      <c r="S241">
        <v>18</v>
      </c>
      <c r="T241" t="s">
        <v>70</v>
      </c>
      <c r="U241" t="s">
        <v>71</v>
      </c>
      <c r="V241" t="s">
        <v>83</v>
      </c>
      <c r="W241" t="s">
        <v>90</v>
      </c>
      <c r="X241" t="s">
        <v>90</v>
      </c>
      <c r="Y241" t="s">
        <v>85</v>
      </c>
      <c r="Z241" t="s">
        <v>91</v>
      </c>
      <c r="AA241" t="s">
        <v>98</v>
      </c>
      <c r="AB241" t="s">
        <v>86</v>
      </c>
      <c r="AC241" t="s">
        <v>87</v>
      </c>
      <c r="AD241" t="s">
        <v>79</v>
      </c>
      <c r="AE241">
        <v>1</v>
      </c>
      <c r="AF241" t="s">
        <v>81</v>
      </c>
      <c r="AG241" t="s">
        <v>81</v>
      </c>
      <c r="AH241" t="s">
        <v>81</v>
      </c>
      <c r="AI241" t="s">
        <v>81</v>
      </c>
      <c r="AJ241" t="s">
        <v>80</v>
      </c>
      <c r="AK241" t="s">
        <v>81</v>
      </c>
      <c r="AL241" t="s">
        <v>80</v>
      </c>
      <c r="AM241" t="s">
        <v>81</v>
      </c>
      <c r="AN241">
        <v>5</v>
      </c>
      <c r="AO241">
        <v>5</v>
      </c>
      <c r="AP241">
        <v>4</v>
      </c>
      <c r="AQ241">
        <v>3</v>
      </c>
      <c r="AR241">
        <v>5</v>
      </c>
      <c r="AS241">
        <v>2</v>
      </c>
      <c r="AT241">
        <v>0</v>
      </c>
      <c r="AU241" t="s">
        <v>89</v>
      </c>
      <c r="AV241">
        <v>7</v>
      </c>
      <c r="AW241">
        <v>0</v>
      </c>
    </row>
    <row r="242" spans="16:49" x14ac:dyDescent="0.25">
      <c r="P242">
        <v>241</v>
      </c>
      <c r="Q242" t="s">
        <v>68</v>
      </c>
      <c r="R242" t="s">
        <v>97</v>
      </c>
      <c r="S242">
        <v>17</v>
      </c>
      <c r="T242" t="s">
        <v>70</v>
      </c>
      <c r="U242" t="s">
        <v>88</v>
      </c>
      <c r="V242" t="s">
        <v>83</v>
      </c>
      <c r="W242" t="s">
        <v>73</v>
      </c>
      <c r="X242" t="s">
        <v>95</v>
      </c>
      <c r="Y242" t="s">
        <v>63</v>
      </c>
      <c r="Z242" t="s">
        <v>85</v>
      </c>
      <c r="AA242" t="s">
        <v>76</v>
      </c>
      <c r="AB242" t="s">
        <v>77</v>
      </c>
      <c r="AC242" t="s">
        <v>78</v>
      </c>
      <c r="AD242" t="s">
        <v>79</v>
      </c>
      <c r="AE242">
        <v>0</v>
      </c>
      <c r="AF242" t="s">
        <v>81</v>
      </c>
      <c r="AG242" t="s">
        <v>81</v>
      </c>
      <c r="AH242" t="s">
        <v>81</v>
      </c>
      <c r="AI242" t="s">
        <v>80</v>
      </c>
      <c r="AJ242" t="s">
        <v>80</v>
      </c>
      <c r="AK242" t="s">
        <v>80</v>
      </c>
      <c r="AL242" t="s">
        <v>80</v>
      </c>
      <c r="AM242" t="s">
        <v>80</v>
      </c>
      <c r="AN242">
        <v>2</v>
      </c>
      <c r="AO242">
        <v>5</v>
      </c>
      <c r="AP242">
        <v>5</v>
      </c>
      <c r="AQ242">
        <v>1</v>
      </c>
      <c r="AR242">
        <v>4</v>
      </c>
      <c r="AS242">
        <v>5</v>
      </c>
      <c r="AT242">
        <v>14</v>
      </c>
      <c r="AU242" t="s">
        <v>99</v>
      </c>
      <c r="AV242">
        <v>12</v>
      </c>
      <c r="AW242">
        <v>12</v>
      </c>
    </row>
    <row r="243" spans="16:49" x14ac:dyDescent="0.25">
      <c r="P243">
        <v>242</v>
      </c>
      <c r="Q243" t="s">
        <v>68</v>
      </c>
      <c r="R243" t="s">
        <v>97</v>
      </c>
      <c r="S243">
        <v>17</v>
      </c>
      <c r="T243" t="s">
        <v>107</v>
      </c>
      <c r="U243" t="s">
        <v>88</v>
      </c>
      <c r="V243" t="s">
        <v>72</v>
      </c>
      <c r="W243" t="s">
        <v>73</v>
      </c>
      <c r="X243" t="s">
        <v>73</v>
      </c>
      <c r="Y243" t="s">
        <v>75</v>
      </c>
      <c r="Z243" t="s">
        <v>85</v>
      </c>
      <c r="AA243" t="s">
        <v>76</v>
      </c>
      <c r="AB243" t="s">
        <v>77</v>
      </c>
      <c r="AC243" t="s">
        <v>78</v>
      </c>
      <c r="AD243" t="s">
        <v>79</v>
      </c>
      <c r="AE243">
        <v>0</v>
      </c>
      <c r="AF243" t="s">
        <v>81</v>
      </c>
      <c r="AG243" t="s">
        <v>80</v>
      </c>
      <c r="AH243" t="s">
        <v>80</v>
      </c>
      <c r="AI243" t="s">
        <v>81</v>
      </c>
      <c r="AJ243" t="s">
        <v>80</v>
      </c>
      <c r="AK243" t="s">
        <v>80</v>
      </c>
      <c r="AL243" t="s">
        <v>80</v>
      </c>
      <c r="AM243" t="s">
        <v>81</v>
      </c>
      <c r="AN243">
        <v>3</v>
      </c>
      <c r="AO243">
        <v>3</v>
      </c>
      <c r="AP243">
        <v>3</v>
      </c>
      <c r="AQ243">
        <v>2</v>
      </c>
      <c r="AR243">
        <v>3</v>
      </c>
      <c r="AS243">
        <v>4</v>
      </c>
      <c r="AT243">
        <v>2</v>
      </c>
      <c r="AU243" t="s">
        <v>102</v>
      </c>
      <c r="AV243">
        <v>11</v>
      </c>
      <c r="AW243">
        <v>12</v>
      </c>
    </row>
    <row r="244" spans="16:49" x14ac:dyDescent="0.25">
      <c r="P244">
        <v>243</v>
      </c>
      <c r="Q244" t="s">
        <v>68</v>
      </c>
      <c r="R244" t="s">
        <v>97</v>
      </c>
      <c r="S244">
        <v>16</v>
      </c>
      <c r="T244" t="s">
        <v>70</v>
      </c>
      <c r="U244" t="s">
        <v>88</v>
      </c>
      <c r="V244" t="s">
        <v>83</v>
      </c>
      <c r="W244" t="s">
        <v>73</v>
      </c>
      <c r="X244" t="s">
        <v>95</v>
      </c>
      <c r="Y244" t="s">
        <v>75</v>
      </c>
      <c r="Z244" t="s">
        <v>85</v>
      </c>
      <c r="AA244" t="s">
        <v>76</v>
      </c>
      <c r="AB244" t="s">
        <v>77</v>
      </c>
      <c r="AC244" t="s">
        <v>87</v>
      </c>
      <c r="AD244" t="s">
        <v>104</v>
      </c>
      <c r="AE244">
        <v>0</v>
      </c>
      <c r="AF244" t="s">
        <v>81</v>
      </c>
      <c r="AG244" t="s">
        <v>81</v>
      </c>
      <c r="AH244" t="s">
        <v>81</v>
      </c>
      <c r="AI244" t="s">
        <v>80</v>
      </c>
      <c r="AJ244" t="s">
        <v>81</v>
      </c>
      <c r="AK244" t="s">
        <v>80</v>
      </c>
      <c r="AL244" t="s">
        <v>80</v>
      </c>
      <c r="AM244" t="s">
        <v>81</v>
      </c>
      <c r="AN244">
        <v>5</v>
      </c>
      <c r="AO244">
        <v>4</v>
      </c>
      <c r="AP244">
        <v>5</v>
      </c>
      <c r="AQ244">
        <v>1</v>
      </c>
      <c r="AR244">
        <v>1</v>
      </c>
      <c r="AS244">
        <v>3</v>
      </c>
      <c r="AT244">
        <v>0</v>
      </c>
      <c r="AU244" t="s">
        <v>96</v>
      </c>
      <c r="AV244">
        <v>0</v>
      </c>
      <c r="AW244">
        <v>0</v>
      </c>
    </row>
    <row r="245" spans="16:49" x14ac:dyDescent="0.25">
      <c r="P245">
        <v>244</v>
      </c>
      <c r="Q245" t="s">
        <v>68</v>
      </c>
      <c r="R245" t="s">
        <v>97</v>
      </c>
      <c r="S245">
        <v>16</v>
      </c>
      <c r="T245" t="s">
        <v>70</v>
      </c>
      <c r="U245" t="s">
        <v>71</v>
      </c>
      <c r="V245" t="s">
        <v>83</v>
      </c>
      <c r="W245" t="s">
        <v>73</v>
      </c>
      <c r="X245" t="s">
        <v>73</v>
      </c>
      <c r="Y245" t="s">
        <v>91</v>
      </c>
      <c r="Z245" t="s">
        <v>91</v>
      </c>
      <c r="AA245" t="s">
        <v>76</v>
      </c>
      <c r="AB245" t="s">
        <v>77</v>
      </c>
      <c r="AC245" t="s">
        <v>87</v>
      </c>
      <c r="AD245" t="s">
        <v>104</v>
      </c>
      <c r="AE245">
        <v>0</v>
      </c>
      <c r="AF245" t="s">
        <v>81</v>
      </c>
      <c r="AG245" t="s">
        <v>81</v>
      </c>
      <c r="AH245" t="s">
        <v>81</v>
      </c>
      <c r="AI245" t="s">
        <v>80</v>
      </c>
      <c r="AJ245" t="s">
        <v>80</v>
      </c>
      <c r="AK245" t="s">
        <v>80</v>
      </c>
      <c r="AL245" t="s">
        <v>80</v>
      </c>
      <c r="AM245" t="s">
        <v>81</v>
      </c>
      <c r="AN245">
        <v>5</v>
      </c>
      <c r="AO245">
        <v>3</v>
      </c>
      <c r="AP245">
        <v>2</v>
      </c>
      <c r="AQ245">
        <v>1</v>
      </c>
      <c r="AR245">
        <v>2</v>
      </c>
      <c r="AS245">
        <v>5</v>
      </c>
      <c r="AT245">
        <v>0</v>
      </c>
      <c r="AU245" t="s">
        <v>105</v>
      </c>
      <c r="AV245">
        <v>12</v>
      </c>
      <c r="AW245">
        <v>12</v>
      </c>
    </row>
    <row r="246" spans="16:49" x14ac:dyDescent="0.25">
      <c r="P246">
        <v>245</v>
      </c>
      <c r="Q246" t="s">
        <v>68</v>
      </c>
      <c r="R246" t="s">
        <v>69</v>
      </c>
      <c r="S246">
        <v>18</v>
      </c>
      <c r="T246" t="s">
        <v>70</v>
      </c>
      <c r="U246" t="s">
        <v>71</v>
      </c>
      <c r="V246" t="s">
        <v>83</v>
      </c>
      <c r="W246" t="s">
        <v>90</v>
      </c>
      <c r="X246" t="s">
        <v>84</v>
      </c>
      <c r="Y246" t="s">
        <v>85</v>
      </c>
      <c r="Z246" t="s">
        <v>85</v>
      </c>
      <c r="AA246" t="s">
        <v>76</v>
      </c>
      <c r="AB246" t="s">
        <v>85</v>
      </c>
      <c r="AC246" t="s">
        <v>78</v>
      </c>
      <c r="AD246" t="s">
        <v>93</v>
      </c>
      <c r="AE246">
        <v>0</v>
      </c>
      <c r="AF246" t="s">
        <v>81</v>
      </c>
      <c r="AG246" t="s">
        <v>80</v>
      </c>
      <c r="AH246" t="s">
        <v>80</v>
      </c>
      <c r="AI246" t="s">
        <v>81</v>
      </c>
      <c r="AJ246" t="s">
        <v>81</v>
      </c>
      <c r="AK246" t="s">
        <v>80</v>
      </c>
      <c r="AL246" t="s">
        <v>80</v>
      </c>
      <c r="AM246" t="s">
        <v>80</v>
      </c>
      <c r="AN246">
        <v>4</v>
      </c>
      <c r="AO246">
        <v>4</v>
      </c>
      <c r="AP246">
        <v>4</v>
      </c>
      <c r="AQ246">
        <v>1</v>
      </c>
      <c r="AR246">
        <v>1</v>
      </c>
      <c r="AS246">
        <v>3</v>
      </c>
      <c r="AT246">
        <v>0</v>
      </c>
      <c r="AU246" t="s">
        <v>89</v>
      </c>
      <c r="AV246">
        <v>0</v>
      </c>
      <c r="AW246">
        <v>0</v>
      </c>
    </row>
    <row r="247" spans="16:49" x14ac:dyDescent="0.25">
      <c r="P247">
        <v>246</v>
      </c>
      <c r="Q247" t="s">
        <v>68</v>
      </c>
      <c r="R247" t="s">
        <v>97</v>
      </c>
      <c r="S247">
        <v>16</v>
      </c>
      <c r="T247" t="s">
        <v>70</v>
      </c>
      <c r="U247" t="s">
        <v>71</v>
      </c>
      <c r="V247" t="s">
        <v>83</v>
      </c>
      <c r="W247" t="s">
        <v>90</v>
      </c>
      <c r="X247" t="s">
        <v>84</v>
      </c>
      <c r="Y247" t="s">
        <v>85</v>
      </c>
      <c r="Z247" t="s">
        <v>85</v>
      </c>
      <c r="AA247" t="s">
        <v>76</v>
      </c>
      <c r="AB247" t="s">
        <v>77</v>
      </c>
      <c r="AC247" t="s">
        <v>103</v>
      </c>
      <c r="AD247" t="s">
        <v>104</v>
      </c>
      <c r="AE247">
        <v>0</v>
      </c>
      <c r="AF247" t="s">
        <v>81</v>
      </c>
      <c r="AG247" t="s">
        <v>81</v>
      </c>
      <c r="AH247" t="s">
        <v>81</v>
      </c>
      <c r="AI247" t="s">
        <v>81</v>
      </c>
      <c r="AJ247" t="s">
        <v>80</v>
      </c>
      <c r="AK247" t="s">
        <v>80</v>
      </c>
      <c r="AL247" t="s">
        <v>80</v>
      </c>
      <c r="AM247" t="s">
        <v>81</v>
      </c>
      <c r="AN247">
        <v>4</v>
      </c>
      <c r="AO247">
        <v>3</v>
      </c>
      <c r="AP247">
        <v>3</v>
      </c>
      <c r="AQ247">
        <v>1</v>
      </c>
      <c r="AR247">
        <v>1</v>
      </c>
      <c r="AS247">
        <v>4</v>
      </c>
      <c r="AT247">
        <v>6</v>
      </c>
      <c r="AU247" t="s">
        <v>115</v>
      </c>
      <c r="AV247">
        <v>18</v>
      </c>
      <c r="AW247">
        <v>18</v>
      </c>
    </row>
    <row r="248" spans="16:49" x14ac:dyDescent="0.25">
      <c r="P248">
        <v>247</v>
      </c>
      <c r="Q248" t="s">
        <v>68</v>
      </c>
      <c r="R248" t="s">
        <v>97</v>
      </c>
      <c r="S248">
        <v>17</v>
      </c>
      <c r="T248" t="s">
        <v>70</v>
      </c>
      <c r="U248" t="s">
        <v>71</v>
      </c>
      <c r="V248" t="s">
        <v>83</v>
      </c>
      <c r="W248" t="s">
        <v>90</v>
      </c>
      <c r="X248" t="s">
        <v>95</v>
      </c>
      <c r="Y248" t="s">
        <v>85</v>
      </c>
      <c r="Z248" t="s">
        <v>85</v>
      </c>
      <c r="AA248" t="s">
        <v>76</v>
      </c>
      <c r="AB248" t="s">
        <v>86</v>
      </c>
      <c r="AC248" t="s">
        <v>78</v>
      </c>
      <c r="AD248" t="s">
        <v>104</v>
      </c>
      <c r="AE248">
        <v>0</v>
      </c>
      <c r="AF248" t="s">
        <v>81</v>
      </c>
      <c r="AG248" t="s">
        <v>81</v>
      </c>
      <c r="AH248" t="s">
        <v>81</v>
      </c>
      <c r="AI248" t="s">
        <v>81</v>
      </c>
      <c r="AJ248" t="s">
        <v>80</v>
      </c>
      <c r="AK248" t="s">
        <v>80</v>
      </c>
      <c r="AL248" t="s">
        <v>80</v>
      </c>
      <c r="AM248" t="s">
        <v>81</v>
      </c>
      <c r="AN248">
        <v>5</v>
      </c>
      <c r="AO248">
        <v>2</v>
      </c>
      <c r="AP248">
        <v>2</v>
      </c>
      <c r="AQ248">
        <v>1</v>
      </c>
      <c r="AR248">
        <v>1</v>
      </c>
      <c r="AS248">
        <v>2</v>
      </c>
      <c r="AT248">
        <v>4</v>
      </c>
      <c r="AU248" t="s">
        <v>99</v>
      </c>
      <c r="AV248">
        <v>12</v>
      </c>
      <c r="AW248">
        <v>13</v>
      </c>
    </row>
    <row r="249" spans="16:49" x14ac:dyDescent="0.25">
      <c r="P249">
        <v>248</v>
      </c>
      <c r="Q249" t="s">
        <v>68</v>
      </c>
      <c r="R249" t="s">
        <v>97</v>
      </c>
      <c r="S249">
        <v>22</v>
      </c>
      <c r="T249" t="s">
        <v>70</v>
      </c>
      <c r="U249" t="s">
        <v>71</v>
      </c>
      <c r="V249" t="s">
        <v>83</v>
      </c>
      <c r="W249" t="s">
        <v>95</v>
      </c>
      <c r="X249" t="s">
        <v>84</v>
      </c>
      <c r="Y249" t="s">
        <v>91</v>
      </c>
      <c r="Z249" t="s">
        <v>91</v>
      </c>
      <c r="AA249" t="s">
        <v>85</v>
      </c>
      <c r="AB249" t="s">
        <v>77</v>
      </c>
      <c r="AC249" t="s">
        <v>87</v>
      </c>
      <c r="AD249" t="s">
        <v>104</v>
      </c>
      <c r="AE249">
        <v>3</v>
      </c>
      <c r="AF249" t="s">
        <v>81</v>
      </c>
      <c r="AG249" t="s">
        <v>81</v>
      </c>
      <c r="AH249" t="s">
        <v>81</v>
      </c>
      <c r="AI249" t="s">
        <v>81</v>
      </c>
      <c r="AJ249" t="s">
        <v>81</v>
      </c>
      <c r="AK249" t="s">
        <v>81</v>
      </c>
      <c r="AL249" t="s">
        <v>80</v>
      </c>
      <c r="AM249" t="s">
        <v>80</v>
      </c>
      <c r="AN249">
        <v>5</v>
      </c>
      <c r="AO249">
        <v>4</v>
      </c>
      <c r="AP249">
        <v>5</v>
      </c>
      <c r="AQ249">
        <v>5</v>
      </c>
      <c r="AR249">
        <v>5</v>
      </c>
      <c r="AS249">
        <v>1</v>
      </c>
      <c r="AT249">
        <v>16</v>
      </c>
      <c r="AU249" t="s">
        <v>96</v>
      </c>
      <c r="AV249">
        <v>8</v>
      </c>
      <c r="AW249">
        <v>8</v>
      </c>
    </row>
    <row r="250" spans="16:49" x14ac:dyDescent="0.25">
      <c r="P250">
        <v>249</v>
      </c>
      <c r="Q250" t="s">
        <v>68</v>
      </c>
      <c r="R250" t="s">
        <v>97</v>
      </c>
      <c r="S250">
        <v>18</v>
      </c>
      <c r="T250" t="s">
        <v>107</v>
      </c>
      <c r="U250" t="s">
        <v>88</v>
      </c>
      <c r="V250" t="s">
        <v>83</v>
      </c>
      <c r="W250" t="s">
        <v>95</v>
      </c>
      <c r="X250" t="s">
        <v>95</v>
      </c>
      <c r="Y250" t="s">
        <v>85</v>
      </c>
      <c r="Z250" t="s">
        <v>91</v>
      </c>
      <c r="AA250" t="s">
        <v>76</v>
      </c>
      <c r="AB250" t="s">
        <v>77</v>
      </c>
      <c r="AC250" t="s">
        <v>87</v>
      </c>
      <c r="AD250" t="s">
        <v>79</v>
      </c>
      <c r="AE250">
        <v>1</v>
      </c>
      <c r="AF250" t="s">
        <v>81</v>
      </c>
      <c r="AG250" t="s">
        <v>80</v>
      </c>
      <c r="AH250" t="s">
        <v>81</v>
      </c>
      <c r="AI250" t="s">
        <v>81</v>
      </c>
      <c r="AJ250" t="s">
        <v>80</v>
      </c>
      <c r="AK250" t="s">
        <v>80</v>
      </c>
      <c r="AL250" t="s">
        <v>80</v>
      </c>
      <c r="AM250" t="s">
        <v>80</v>
      </c>
      <c r="AN250">
        <v>4</v>
      </c>
      <c r="AO250">
        <v>3</v>
      </c>
      <c r="AP250">
        <v>3</v>
      </c>
      <c r="AQ250">
        <v>1</v>
      </c>
      <c r="AR250">
        <v>3</v>
      </c>
      <c r="AS250">
        <v>5</v>
      </c>
      <c r="AT250">
        <v>8</v>
      </c>
      <c r="AU250" t="s">
        <v>117</v>
      </c>
      <c r="AV250">
        <v>5</v>
      </c>
      <c r="AW250">
        <v>5</v>
      </c>
    </row>
    <row r="251" spans="16:49" x14ac:dyDescent="0.25">
      <c r="P251">
        <v>250</v>
      </c>
      <c r="Q251" t="s">
        <v>68</v>
      </c>
      <c r="R251" t="s">
        <v>97</v>
      </c>
      <c r="S251">
        <v>16</v>
      </c>
      <c r="T251" t="s">
        <v>70</v>
      </c>
      <c r="U251" t="s">
        <v>71</v>
      </c>
      <c r="V251" t="s">
        <v>83</v>
      </c>
      <c r="W251" t="s">
        <v>114</v>
      </c>
      <c r="X251" t="s">
        <v>90</v>
      </c>
      <c r="Y251" t="s">
        <v>85</v>
      </c>
      <c r="Z251" t="s">
        <v>85</v>
      </c>
      <c r="AA251" t="s">
        <v>85</v>
      </c>
      <c r="AB251" t="s">
        <v>77</v>
      </c>
      <c r="AC251" t="s">
        <v>87</v>
      </c>
      <c r="AD251" t="s">
        <v>104</v>
      </c>
      <c r="AE251">
        <v>0</v>
      </c>
      <c r="AF251" t="s">
        <v>81</v>
      </c>
      <c r="AG251" t="s">
        <v>81</v>
      </c>
      <c r="AH251" t="s">
        <v>80</v>
      </c>
      <c r="AI251" t="s">
        <v>81</v>
      </c>
      <c r="AJ251" t="s">
        <v>81</v>
      </c>
      <c r="AK251" t="s">
        <v>80</v>
      </c>
      <c r="AL251" t="s">
        <v>80</v>
      </c>
      <c r="AM251" t="s">
        <v>81</v>
      </c>
      <c r="AN251">
        <v>4</v>
      </c>
      <c r="AO251">
        <v>3</v>
      </c>
      <c r="AP251">
        <v>2</v>
      </c>
      <c r="AQ251">
        <v>2</v>
      </c>
      <c r="AR251">
        <v>4</v>
      </c>
      <c r="AS251">
        <v>5</v>
      </c>
      <c r="AT251">
        <v>0</v>
      </c>
      <c r="AU251" t="s">
        <v>105</v>
      </c>
      <c r="AV251">
        <v>15</v>
      </c>
      <c r="AW251">
        <v>15</v>
      </c>
    </row>
    <row r="252" spans="16:49" x14ac:dyDescent="0.25">
      <c r="P252">
        <v>251</v>
      </c>
      <c r="Q252" t="s">
        <v>68</v>
      </c>
      <c r="R252" t="s">
        <v>97</v>
      </c>
      <c r="S252">
        <v>18</v>
      </c>
      <c r="T252" t="s">
        <v>70</v>
      </c>
      <c r="U252" t="s">
        <v>71</v>
      </c>
      <c r="V252" t="s">
        <v>83</v>
      </c>
      <c r="W252" t="s">
        <v>95</v>
      </c>
      <c r="X252" t="s">
        <v>90</v>
      </c>
      <c r="Y252" t="s">
        <v>91</v>
      </c>
      <c r="Z252" t="s">
        <v>85</v>
      </c>
      <c r="AA252" t="s">
        <v>76</v>
      </c>
      <c r="AB252" t="s">
        <v>77</v>
      </c>
      <c r="AC252" t="s">
        <v>78</v>
      </c>
      <c r="AD252" t="s">
        <v>104</v>
      </c>
      <c r="AE252">
        <v>1</v>
      </c>
      <c r="AF252" t="s">
        <v>81</v>
      </c>
      <c r="AG252" t="s">
        <v>81</v>
      </c>
      <c r="AH252" t="s">
        <v>81</v>
      </c>
      <c r="AI252" t="s">
        <v>81</v>
      </c>
      <c r="AJ252" t="s">
        <v>80</v>
      </c>
      <c r="AK252" t="s">
        <v>81</v>
      </c>
      <c r="AL252" t="s">
        <v>80</v>
      </c>
      <c r="AM252" t="s">
        <v>81</v>
      </c>
      <c r="AN252">
        <v>4</v>
      </c>
      <c r="AO252">
        <v>4</v>
      </c>
      <c r="AP252">
        <v>5</v>
      </c>
      <c r="AQ252">
        <v>2</v>
      </c>
      <c r="AR252">
        <v>4</v>
      </c>
      <c r="AS252">
        <v>5</v>
      </c>
      <c r="AT252">
        <v>0</v>
      </c>
      <c r="AU252" t="s">
        <v>96</v>
      </c>
      <c r="AV252">
        <v>8</v>
      </c>
      <c r="AW252">
        <v>8</v>
      </c>
    </row>
    <row r="253" spans="16:49" x14ac:dyDescent="0.25">
      <c r="P253">
        <v>252</v>
      </c>
      <c r="Q253" t="s">
        <v>68</v>
      </c>
      <c r="R253" t="s">
        <v>97</v>
      </c>
      <c r="S253">
        <v>16</v>
      </c>
      <c r="T253" t="s">
        <v>70</v>
      </c>
      <c r="U253" t="s">
        <v>71</v>
      </c>
      <c r="V253" t="s">
        <v>83</v>
      </c>
      <c r="W253" t="s">
        <v>95</v>
      </c>
      <c r="X253" t="s">
        <v>95</v>
      </c>
      <c r="Y253" t="s">
        <v>74</v>
      </c>
      <c r="Z253" t="s">
        <v>85</v>
      </c>
      <c r="AA253" t="s">
        <v>98</v>
      </c>
      <c r="AB253" t="s">
        <v>85</v>
      </c>
      <c r="AC253" t="s">
        <v>103</v>
      </c>
      <c r="AD253" t="s">
        <v>79</v>
      </c>
      <c r="AE253">
        <v>0</v>
      </c>
      <c r="AF253" t="s">
        <v>80</v>
      </c>
      <c r="AG253" t="s">
        <v>80</v>
      </c>
      <c r="AH253" t="s">
        <v>81</v>
      </c>
      <c r="AI253" t="s">
        <v>81</v>
      </c>
      <c r="AJ253" t="s">
        <v>81</v>
      </c>
      <c r="AK253" t="s">
        <v>80</v>
      </c>
      <c r="AL253" t="s">
        <v>80</v>
      </c>
      <c r="AM253" t="s">
        <v>81</v>
      </c>
      <c r="AN253">
        <v>5</v>
      </c>
      <c r="AO253">
        <v>3</v>
      </c>
      <c r="AP253">
        <v>3</v>
      </c>
      <c r="AQ253">
        <v>1</v>
      </c>
      <c r="AR253">
        <v>3</v>
      </c>
      <c r="AS253">
        <v>2</v>
      </c>
      <c r="AT253">
        <v>6</v>
      </c>
      <c r="AU253" t="s">
        <v>89</v>
      </c>
      <c r="AV253">
        <v>10</v>
      </c>
      <c r="AW253">
        <v>10</v>
      </c>
    </row>
    <row r="254" spans="16:49" x14ac:dyDescent="0.25">
      <c r="P254">
        <v>253</v>
      </c>
      <c r="Q254" t="s">
        <v>68</v>
      </c>
      <c r="R254" t="s">
        <v>97</v>
      </c>
      <c r="S254">
        <v>18</v>
      </c>
      <c r="T254" t="s">
        <v>70</v>
      </c>
      <c r="U254" t="s">
        <v>71</v>
      </c>
      <c r="V254" t="s">
        <v>83</v>
      </c>
      <c r="W254" t="s">
        <v>90</v>
      </c>
      <c r="X254" t="s">
        <v>84</v>
      </c>
      <c r="Y254" t="s">
        <v>91</v>
      </c>
      <c r="Z254" t="s">
        <v>91</v>
      </c>
      <c r="AA254" t="s">
        <v>85</v>
      </c>
      <c r="AB254" t="s">
        <v>77</v>
      </c>
      <c r="AC254" t="s">
        <v>87</v>
      </c>
      <c r="AD254" t="s">
        <v>104</v>
      </c>
      <c r="AE254">
        <v>1</v>
      </c>
      <c r="AF254" t="s">
        <v>81</v>
      </c>
      <c r="AG254" t="s">
        <v>81</v>
      </c>
      <c r="AH254" t="s">
        <v>81</v>
      </c>
      <c r="AI254" t="s">
        <v>81</v>
      </c>
      <c r="AJ254" t="s">
        <v>81</v>
      </c>
      <c r="AK254" t="s">
        <v>81</v>
      </c>
      <c r="AL254" t="s">
        <v>80</v>
      </c>
      <c r="AM254" t="s">
        <v>81</v>
      </c>
      <c r="AN254">
        <v>3</v>
      </c>
      <c r="AO254">
        <v>2</v>
      </c>
      <c r="AP254">
        <v>5</v>
      </c>
      <c r="AQ254">
        <v>2</v>
      </c>
      <c r="AR254">
        <v>5</v>
      </c>
      <c r="AS254">
        <v>5</v>
      </c>
      <c r="AT254">
        <v>4</v>
      </c>
      <c r="AU254" t="s">
        <v>96</v>
      </c>
      <c r="AV254">
        <v>9</v>
      </c>
      <c r="AW254">
        <v>8</v>
      </c>
    </row>
    <row r="255" spans="16:49" x14ac:dyDescent="0.25">
      <c r="P255">
        <v>254</v>
      </c>
      <c r="Q255" t="s">
        <v>68</v>
      </c>
      <c r="R255" t="s">
        <v>97</v>
      </c>
      <c r="S255">
        <v>16</v>
      </c>
      <c r="T255" t="s">
        <v>107</v>
      </c>
      <c r="U255" t="s">
        <v>71</v>
      </c>
      <c r="V255" t="s">
        <v>83</v>
      </c>
      <c r="W255" t="s">
        <v>90</v>
      </c>
      <c r="X255" t="s">
        <v>84</v>
      </c>
      <c r="Y255" t="s">
        <v>85</v>
      </c>
      <c r="Z255" t="s">
        <v>85</v>
      </c>
      <c r="AA255" t="s">
        <v>76</v>
      </c>
      <c r="AB255" t="s">
        <v>77</v>
      </c>
      <c r="AC255" t="s">
        <v>78</v>
      </c>
      <c r="AD255" t="s">
        <v>104</v>
      </c>
      <c r="AE255">
        <v>0</v>
      </c>
      <c r="AF255" t="s">
        <v>81</v>
      </c>
      <c r="AG255" t="s">
        <v>81</v>
      </c>
      <c r="AH255" t="s">
        <v>81</v>
      </c>
      <c r="AI255" t="s">
        <v>80</v>
      </c>
      <c r="AJ255" t="s">
        <v>81</v>
      </c>
      <c r="AK255" t="s">
        <v>80</v>
      </c>
      <c r="AL255" t="s">
        <v>81</v>
      </c>
      <c r="AM255" t="s">
        <v>81</v>
      </c>
      <c r="AN255">
        <v>3</v>
      </c>
      <c r="AO255">
        <v>3</v>
      </c>
      <c r="AP255">
        <v>2</v>
      </c>
      <c r="AQ255">
        <v>1</v>
      </c>
      <c r="AR255">
        <v>3</v>
      </c>
      <c r="AS255">
        <v>3</v>
      </c>
      <c r="AT255">
        <v>0</v>
      </c>
      <c r="AU255" t="s">
        <v>106</v>
      </c>
      <c r="AV255">
        <v>9</v>
      </c>
      <c r="AW255">
        <v>8</v>
      </c>
    </row>
    <row r="256" spans="16:49" x14ac:dyDescent="0.25">
      <c r="P256">
        <v>255</v>
      </c>
      <c r="Q256" t="s">
        <v>68</v>
      </c>
      <c r="R256" t="s">
        <v>97</v>
      </c>
      <c r="S256">
        <v>17</v>
      </c>
      <c r="T256" t="s">
        <v>107</v>
      </c>
      <c r="U256" t="s">
        <v>71</v>
      </c>
      <c r="V256" t="s">
        <v>83</v>
      </c>
      <c r="W256" t="s">
        <v>90</v>
      </c>
      <c r="X256" t="s">
        <v>84</v>
      </c>
      <c r="Y256" t="s">
        <v>85</v>
      </c>
      <c r="Z256" t="s">
        <v>85</v>
      </c>
      <c r="AA256" t="s">
        <v>76</v>
      </c>
      <c r="AB256" t="s">
        <v>77</v>
      </c>
      <c r="AC256" t="s">
        <v>87</v>
      </c>
      <c r="AD256" t="s">
        <v>104</v>
      </c>
      <c r="AE256">
        <v>0</v>
      </c>
      <c r="AF256" t="s">
        <v>81</v>
      </c>
      <c r="AG256" t="s">
        <v>81</v>
      </c>
      <c r="AH256" t="s">
        <v>81</v>
      </c>
      <c r="AI256" t="s">
        <v>81</v>
      </c>
      <c r="AJ256" t="s">
        <v>81</v>
      </c>
      <c r="AK256" t="s">
        <v>80</v>
      </c>
      <c r="AL256" t="s">
        <v>80</v>
      </c>
      <c r="AM256" t="s">
        <v>81</v>
      </c>
      <c r="AN256">
        <v>4</v>
      </c>
      <c r="AO256">
        <v>4</v>
      </c>
      <c r="AP256">
        <v>2</v>
      </c>
      <c r="AQ256">
        <v>2</v>
      </c>
      <c r="AR256">
        <v>4</v>
      </c>
      <c r="AS256">
        <v>5</v>
      </c>
      <c r="AT256">
        <v>0</v>
      </c>
      <c r="AU256" t="s">
        <v>106</v>
      </c>
      <c r="AV256">
        <v>12</v>
      </c>
      <c r="AW256">
        <v>12</v>
      </c>
    </row>
    <row r="257" spans="16:49" x14ac:dyDescent="0.25">
      <c r="P257">
        <v>256</v>
      </c>
      <c r="Q257" t="s">
        <v>68</v>
      </c>
      <c r="R257" t="s">
        <v>97</v>
      </c>
      <c r="S257">
        <v>17</v>
      </c>
      <c r="T257" t="s">
        <v>70</v>
      </c>
      <c r="U257" t="s">
        <v>88</v>
      </c>
      <c r="V257" t="s">
        <v>83</v>
      </c>
      <c r="W257" t="s">
        <v>84</v>
      </c>
      <c r="X257" t="s">
        <v>84</v>
      </c>
      <c r="Y257" t="s">
        <v>63</v>
      </c>
      <c r="Z257" t="s">
        <v>85</v>
      </c>
      <c r="AA257" t="s">
        <v>76</v>
      </c>
      <c r="AB257" t="s">
        <v>77</v>
      </c>
      <c r="AC257" t="s">
        <v>78</v>
      </c>
      <c r="AD257" t="s">
        <v>104</v>
      </c>
      <c r="AE257">
        <v>1</v>
      </c>
      <c r="AF257" t="s">
        <v>81</v>
      </c>
      <c r="AG257" t="s">
        <v>80</v>
      </c>
      <c r="AH257" t="s">
        <v>81</v>
      </c>
      <c r="AI257" t="s">
        <v>80</v>
      </c>
      <c r="AJ257" t="s">
        <v>80</v>
      </c>
      <c r="AK257" t="s">
        <v>80</v>
      </c>
      <c r="AL257" t="s">
        <v>80</v>
      </c>
      <c r="AM257" t="s">
        <v>81</v>
      </c>
      <c r="AN257">
        <v>4</v>
      </c>
      <c r="AO257">
        <v>4</v>
      </c>
      <c r="AP257">
        <v>4</v>
      </c>
      <c r="AQ257">
        <v>1</v>
      </c>
      <c r="AR257">
        <v>2</v>
      </c>
      <c r="AS257">
        <v>5</v>
      </c>
      <c r="AT257">
        <v>2</v>
      </c>
      <c r="AU257" t="s">
        <v>89</v>
      </c>
      <c r="AV257">
        <v>9</v>
      </c>
      <c r="AW257">
        <v>8</v>
      </c>
    </row>
    <row r="258" spans="16:49" x14ac:dyDescent="0.25">
      <c r="P258">
        <v>257</v>
      </c>
      <c r="Q258" t="s">
        <v>68</v>
      </c>
      <c r="R258" t="s">
        <v>69</v>
      </c>
      <c r="S258">
        <v>17</v>
      </c>
      <c r="T258" t="s">
        <v>70</v>
      </c>
      <c r="U258" t="s">
        <v>88</v>
      </c>
      <c r="V258" t="s">
        <v>83</v>
      </c>
      <c r="W258" t="s">
        <v>73</v>
      </c>
      <c r="X258" t="s">
        <v>90</v>
      </c>
      <c r="Y258" t="s">
        <v>75</v>
      </c>
      <c r="Z258" t="s">
        <v>91</v>
      </c>
      <c r="AA258" t="s">
        <v>98</v>
      </c>
      <c r="AB258" t="s">
        <v>77</v>
      </c>
      <c r="AC258" t="s">
        <v>87</v>
      </c>
      <c r="AD258" t="s">
        <v>112</v>
      </c>
      <c r="AE258">
        <v>0</v>
      </c>
      <c r="AF258" t="s">
        <v>81</v>
      </c>
      <c r="AG258" t="s">
        <v>80</v>
      </c>
      <c r="AH258" t="s">
        <v>80</v>
      </c>
      <c r="AI258" t="s">
        <v>80</v>
      </c>
      <c r="AJ258" t="s">
        <v>80</v>
      </c>
      <c r="AK258" t="s">
        <v>80</v>
      </c>
      <c r="AL258" t="s">
        <v>80</v>
      </c>
      <c r="AM258" t="s">
        <v>81</v>
      </c>
      <c r="AN258">
        <v>4</v>
      </c>
      <c r="AO258">
        <v>2</v>
      </c>
      <c r="AP258">
        <v>3</v>
      </c>
      <c r="AQ258">
        <v>1</v>
      </c>
      <c r="AR258">
        <v>1</v>
      </c>
      <c r="AS258">
        <v>4</v>
      </c>
      <c r="AT258">
        <v>6</v>
      </c>
      <c r="AU258" t="s">
        <v>101</v>
      </c>
      <c r="AV258">
        <v>12</v>
      </c>
      <c r="AW258">
        <v>13</v>
      </c>
    </row>
    <row r="259" spans="16:49" x14ac:dyDescent="0.25">
      <c r="P259">
        <v>258</v>
      </c>
      <c r="Q259" t="s">
        <v>68</v>
      </c>
      <c r="R259" t="s">
        <v>97</v>
      </c>
      <c r="S259">
        <v>19</v>
      </c>
      <c r="T259" t="s">
        <v>70</v>
      </c>
      <c r="U259" t="s">
        <v>88</v>
      </c>
      <c r="V259" t="s">
        <v>72</v>
      </c>
      <c r="W259" t="s">
        <v>73</v>
      </c>
      <c r="X259" t="s">
        <v>95</v>
      </c>
      <c r="Y259" t="s">
        <v>91</v>
      </c>
      <c r="Z259" t="s">
        <v>74</v>
      </c>
      <c r="AA259" t="s">
        <v>98</v>
      </c>
      <c r="AB259" t="s">
        <v>77</v>
      </c>
      <c r="AC259" t="s">
        <v>87</v>
      </c>
      <c r="AD259" t="s">
        <v>79</v>
      </c>
      <c r="AE259">
        <v>0</v>
      </c>
      <c r="AF259" t="s">
        <v>81</v>
      </c>
      <c r="AG259" t="s">
        <v>80</v>
      </c>
      <c r="AH259" t="s">
        <v>81</v>
      </c>
      <c r="AI259" t="s">
        <v>81</v>
      </c>
      <c r="AJ259" t="s">
        <v>80</v>
      </c>
      <c r="AK259" t="s">
        <v>80</v>
      </c>
      <c r="AL259" t="s">
        <v>80</v>
      </c>
      <c r="AM259" t="s">
        <v>81</v>
      </c>
      <c r="AN259">
        <v>4</v>
      </c>
      <c r="AO259">
        <v>3</v>
      </c>
      <c r="AP259">
        <v>1</v>
      </c>
      <c r="AQ259">
        <v>1</v>
      </c>
      <c r="AR259">
        <v>1</v>
      </c>
      <c r="AS259">
        <v>1</v>
      </c>
      <c r="AT259">
        <v>12</v>
      </c>
      <c r="AU259" t="s">
        <v>108</v>
      </c>
      <c r="AV259">
        <v>11</v>
      </c>
      <c r="AW259">
        <v>11</v>
      </c>
    </row>
    <row r="260" spans="16:49" x14ac:dyDescent="0.25">
      <c r="P260">
        <v>259</v>
      </c>
      <c r="Q260" t="s">
        <v>68</v>
      </c>
      <c r="R260" t="s">
        <v>97</v>
      </c>
      <c r="S260">
        <v>18</v>
      </c>
      <c r="T260" t="s">
        <v>70</v>
      </c>
      <c r="U260" t="s">
        <v>71</v>
      </c>
      <c r="V260" t="s">
        <v>83</v>
      </c>
      <c r="W260" t="s">
        <v>90</v>
      </c>
      <c r="X260" t="s">
        <v>84</v>
      </c>
      <c r="Y260" t="s">
        <v>85</v>
      </c>
      <c r="Z260" t="s">
        <v>85</v>
      </c>
      <c r="AA260" t="s">
        <v>92</v>
      </c>
      <c r="AB260" t="s">
        <v>77</v>
      </c>
      <c r="AC260" t="s">
        <v>87</v>
      </c>
      <c r="AD260" t="s">
        <v>79</v>
      </c>
      <c r="AE260">
        <v>0</v>
      </c>
      <c r="AF260" t="s">
        <v>81</v>
      </c>
      <c r="AG260" t="s">
        <v>81</v>
      </c>
      <c r="AH260" t="s">
        <v>81</v>
      </c>
      <c r="AI260" t="s">
        <v>80</v>
      </c>
      <c r="AJ260" t="s">
        <v>80</v>
      </c>
      <c r="AK260" t="s">
        <v>80</v>
      </c>
      <c r="AL260" t="s">
        <v>80</v>
      </c>
      <c r="AM260" t="s">
        <v>81</v>
      </c>
      <c r="AN260">
        <v>5</v>
      </c>
      <c r="AO260">
        <v>2</v>
      </c>
      <c r="AP260">
        <v>4</v>
      </c>
      <c r="AQ260">
        <v>1</v>
      </c>
      <c r="AR260">
        <v>2</v>
      </c>
      <c r="AS260">
        <v>4</v>
      </c>
      <c r="AT260">
        <v>8</v>
      </c>
      <c r="AU260" t="s">
        <v>94</v>
      </c>
      <c r="AV260">
        <v>14</v>
      </c>
      <c r="AW260">
        <v>14</v>
      </c>
    </row>
    <row r="261" spans="16:49" x14ac:dyDescent="0.25">
      <c r="P261">
        <v>260</v>
      </c>
      <c r="Q261" t="s">
        <v>68</v>
      </c>
      <c r="R261" t="s">
        <v>69</v>
      </c>
      <c r="S261">
        <v>17</v>
      </c>
      <c r="T261" t="s">
        <v>70</v>
      </c>
      <c r="U261" t="s">
        <v>88</v>
      </c>
      <c r="V261" t="s">
        <v>83</v>
      </c>
      <c r="W261" t="s">
        <v>90</v>
      </c>
      <c r="X261" t="s">
        <v>90</v>
      </c>
      <c r="Y261" t="s">
        <v>91</v>
      </c>
      <c r="Z261" t="s">
        <v>91</v>
      </c>
      <c r="AA261" t="s">
        <v>76</v>
      </c>
      <c r="AB261" t="s">
        <v>86</v>
      </c>
      <c r="AC261" t="s">
        <v>87</v>
      </c>
      <c r="AD261" t="s">
        <v>112</v>
      </c>
      <c r="AE261">
        <v>0</v>
      </c>
      <c r="AF261" t="s">
        <v>81</v>
      </c>
      <c r="AG261" t="s">
        <v>81</v>
      </c>
      <c r="AH261" t="s">
        <v>80</v>
      </c>
      <c r="AI261" t="s">
        <v>80</v>
      </c>
      <c r="AJ261" t="s">
        <v>80</v>
      </c>
      <c r="AK261" t="s">
        <v>80</v>
      </c>
      <c r="AL261" t="s">
        <v>80</v>
      </c>
      <c r="AM261" t="s">
        <v>80</v>
      </c>
      <c r="AN261">
        <v>3</v>
      </c>
      <c r="AO261">
        <v>4</v>
      </c>
      <c r="AP261">
        <v>1</v>
      </c>
      <c r="AQ261">
        <v>1</v>
      </c>
      <c r="AR261">
        <v>1</v>
      </c>
      <c r="AS261">
        <v>2</v>
      </c>
      <c r="AT261">
        <v>0</v>
      </c>
      <c r="AU261" t="s">
        <v>102</v>
      </c>
      <c r="AV261">
        <v>9</v>
      </c>
      <c r="AW261">
        <v>0</v>
      </c>
    </row>
    <row r="262" spans="16:49" x14ac:dyDescent="0.25">
      <c r="P262">
        <v>261</v>
      </c>
      <c r="Q262" t="s">
        <v>68</v>
      </c>
      <c r="R262" t="s">
        <v>69</v>
      </c>
      <c r="S262">
        <v>18</v>
      </c>
      <c r="T262" t="s">
        <v>70</v>
      </c>
      <c r="U262" t="s">
        <v>71</v>
      </c>
      <c r="V262" t="s">
        <v>83</v>
      </c>
      <c r="W262" t="s">
        <v>73</v>
      </c>
      <c r="X262" t="s">
        <v>95</v>
      </c>
      <c r="Y262" t="s">
        <v>91</v>
      </c>
      <c r="Z262" t="s">
        <v>85</v>
      </c>
      <c r="AA262" t="s">
        <v>92</v>
      </c>
      <c r="AB262" t="s">
        <v>86</v>
      </c>
      <c r="AC262" t="s">
        <v>87</v>
      </c>
      <c r="AD262" t="s">
        <v>79</v>
      </c>
      <c r="AE262">
        <v>0</v>
      </c>
      <c r="AF262" t="s">
        <v>81</v>
      </c>
      <c r="AG262" t="s">
        <v>80</v>
      </c>
      <c r="AH262" t="s">
        <v>80</v>
      </c>
      <c r="AI262" t="s">
        <v>81</v>
      </c>
      <c r="AJ262" t="s">
        <v>80</v>
      </c>
      <c r="AK262" t="s">
        <v>80</v>
      </c>
      <c r="AL262" t="s">
        <v>80</v>
      </c>
      <c r="AM262" t="s">
        <v>80</v>
      </c>
      <c r="AN262">
        <v>3</v>
      </c>
      <c r="AO262">
        <v>1</v>
      </c>
      <c r="AP262">
        <v>2</v>
      </c>
      <c r="AQ262">
        <v>1</v>
      </c>
      <c r="AR262">
        <v>3</v>
      </c>
      <c r="AS262">
        <v>2</v>
      </c>
      <c r="AT262">
        <v>21</v>
      </c>
      <c r="AU262" t="s">
        <v>110</v>
      </c>
      <c r="AV262">
        <v>18</v>
      </c>
      <c r="AW262">
        <v>18</v>
      </c>
    </row>
    <row r="263" spans="16:49" x14ac:dyDescent="0.25">
      <c r="P263">
        <v>262</v>
      </c>
      <c r="Q263" t="s">
        <v>68</v>
      </c>
      <c r="R263" t="s">
        <v>97</v>
      </c>
      <c r="S263">
        <v>18</v>
      </c>
      <c r="T263" t="s">
        <v>70</v>
      </c>
      <c r="U263" t="s">
        <v>71</v>
      </c>
      <c r="V263" t="s">
        <v>83</v>
      </c>
      <c r="W263" t="s">
        <v>73</v>
      </c>
      <c r="X263" t="s">
        <v>95</v>
      </c>
      <c r="Y263" t="s">
        <v>75</v>
      </c>
      <c r="Z263" t="s">
        <v>85</v>
      </c>
      <c r="AA263" t="s">
        <v>76</v>
      </c>
      <c r="AB263" t="s">
        <v>77</v>
      </c>
      <c r="AC263" t="s">
        <v>87</v>
      </c>
      <c r="AD263" t="s">
        <v>79</v>
      </c>
      <c r="AE263">
        <v>0</v>
      </c>
      <c r="AF263" t="s">
        <v>81</v>
      </c>
      <c r="AG263" t="s">
        <v>80</v>
      </c>
      <c r="AH263" t="s">
        <v>80</v>
      </c>
      <c r="AI263" t="s">
        <v>81</v>
      </c>
      <c r="AJ263" t="s">
        <v>81</v>
      </c>
      <c r="AK263" t="s">
        <v>80</v>
      </c>
      <c r="AL263" t="s">
        <v>80</v>
      </c>
      <c r="AM263" t="s">
        <v>81</v>
      </c>
      <c r="AN263">
        <v>4</v>
      </c>
      <c r="AO263">
        <v>3</v>
      </c>
      <c r="AP263">
        <v>2</v>
      </c>
      <c r="AQ263">
        <v>1</v>
      </c>
      <c r="AR263">
        <v>1</v>
      </c>
      <c r="AS263">
        <v>3</v>
      </c>
      <c r="AT263">
        <v>2</v>
      </c>
      <c r="AU263" t="s">
        <v>106</v>
      </c>
      <c r="AV263">
        <v>8</v>
      </c>
      <c r="AW263">
        <v>8</v>
      </c>
    </row>
    <row r="264" spans="16:49" x14ac:dyDescent="0.25">
      <c r="P264">
        <v>263</v>
      </c>
      <c r="Q264" t="s">
        <v>68</v>
      </c>
      <c r="R264" t="s">
        <v>97</v>
      </c>
      <c r="S264">
        <v>18</v>
      </c>
      <c r="T264" t="s">
        <v>107</v>
      </c>
      <c r="U264" t="s">
        <v>71</v>
      </c>
      <c r="V264" t="s">
        <v>83</v>
      </c>
      <c r="W264" t="s">
        <v>95</v>
      </c>
      <c r="X264" t="s">
        <v>90</v>
      </c>
      <c r="Y264" t="s">
        <v>85</v>
      </c>
      <c r="Z264" t="s">
        <v>85</v>
      </c>
      <c r="AA264" t="s">
        <v>76</v>
      </c>
      <c r="AB264" t="s">
        <v>77</v>
      </c>
      <c r="AC264" t="s">
        <v>87</v>
      </c>
      <c r="AD264" t="s">
        <v>93</v>
      </c>
      <c r="AE264">
        <v>0</v>
      </c>
      <c r="AF264" t="s">
        <v>81</v>
      </c>
      <c r="AG264" t="s">
        <v>81</v>
      </c>
      <c r="AH264" t="s">
        <v>81</v>
      </c>
      <c r="AI264" t="s">
        <v>80</v>
      </c>
      <c r="AJ264" t="s">
        <v>81</v>
      </c>
      <c r="AK264" t="s">
        <v>80</v>
      </c>
      <c r="AL264" t="s">
        <v>81</v>
      </c>
      <c r="AM264" t="s">
        <v>81</v>
      </c>
      <c r="AN264">
        <v>5</v>
      </c>
      <c r="AO264">
        <v>3</v>
      </c>
      <c r="AP264">
        <v>2</v>
      </c>
      <c r="AQ264">
        <v>1</v>
      </c>
      <c r="AR264">
        <v>1</v>
      </c>
      <c r="AS264">
        <v>3</v>
      </c>
      <c r="AT264">
        <v>1</v>
      </c>
      <c r="AU264" t="s">
        <v>105</v>
      </c>
      <c r="AV264">
        <v>12</v>
      </c>
      <c r="AW264">
        <v>12</v>
      </c>
    </row>
    <row r="265" spans="16:49" x14ac:dyDescent="0.25">
      <c r="P265">
        <v>264</v>
      </c>
      <c r="Q265" t="s">
        <v>68</v>
      </c>
      <c r="R265" t="s">
        <v>69</v>
      </c>
      <c r="S265">
        <v>17</v>
      </c>
      <c r="T265" t="s">
        <v>70</v>
      </c>
      <c r="U265" t="s">
        <v>71</v>
      </c>
      <c r="V265" t="s">
        <v>83</v>
      </c>
      <c r="W265" t="s">
        <v>95</v>
      </c>
      <c r="X265" t="s">
        <v>95</v>
      </c>
      <c r="Y265" t="s">
        <v>85</v>
      </c>
      <c r="Z265" t="s">
        <v>85</v>
      </c>
      <c r="AA265" t="s">
        <v>92</v>
      </c>
      <c r="AB265" t="s">
        <v>77</v>
      </c>
      <c r="AC265" t="s">
        <v>87</v>
      </c>
      <c r="AD265" t="s">
        <v>93</v>
      </c>
      <c r="AE265">
        <v>0</v>
      </c>
      <c r="AF265" t="s">
        <v>81</v>
      </c>
      <c r="AG265" t="s">
        <v>81</v>
      </c>
      <c r="AH265" t="s">
        <v>81</v>
      </c>
      <c r="AI265" t="s">
        <v>80</v>
      </c>
      <c r="AJ265" t="s">
        <v>81</v>
      </c>
      <c r="AK265" t="s">
        <v>80</v>
      </c>
      <c r="AL265" t="s">
        <v>81</v>
      </c>
      <c r="AM265" t="s">
        <v>81</v>
      </c>
      <c r="AN265">
        <v>3</v>
      </c>
      <c r="AO265">
        <v>2</v>
      </c>
      <c r="AP265">
        <v>3</v>
      </c>
      <c r="AQ265">
        <v>1</v>
      </c>
      <c r="AR265">
        <v>1</v>
      </c>
      <c r="AS265">
        <v>4</v>
      </c>
      <c r="AT265">
        <v>4</v>
      </c>
      <c r="AU265" t="s">
        <v>102</v>
      </c>
      <c r="AV265">
        <v>9</v>
      </c>
      <c r="AW265">
        <v>9</v>
      </c>
    </row>
    <row r="266" spans="16:49" x14ac:dyDescent="0.25">
      <c r="P266">
        <v>265</v>
      </c>
      <c r="Q266" t="s">
        <v>68</v>
      </c>
      <c r="R266" t="s">
        <v>69</v>
      </c>
      <c r="S266">
        <v>18</v>
      </c>
      <c r="T266" t="s">
        <v>70</v>
      </c>
      <c r="U266" t="s">
        <v>71</v>
      </c>
      <c r="V266" t="s">
        <v>83</v>
      </c>
      <c r="W266" t="s">
        <v>90</v>
      </c>
      <c r="X266" t="s">
        <v>90</v>
      </c>
      <c r="Y266" t="s">
        <v>74</v>
      </c>
      <c r="Z266" t="s">
        <v>91</v>
      </c>
      <c r="AA266" t="s">
        <v>92</v>
      </c>
      <c r="AB266" t="s">
        <v>77</v>
      </c>
      <c r="AC266" t="s">
        <v>87</v>
      </c>
      <c r="AD266" t="s">
        <v>93</v>
      </c>
      <c r="AE266">
        <v>0</v>
      </c>
      <c r="AF266" t="s">
        <v>81</v>
      </c>
      <c r="AG266" t="s">
        <v>80</v>
      </c>
      <c r="AH266" t="s">
        <v>80</v>
      </c>
      <c r="AI266" t="s">
        <v>80</v>
      </c>
      <c r="AJ266" t="s">
        <v>80</v>
      </c>
      <c r="AK266" t="s">
        <v>80</v>
      </c>
      <c r="AL266" t="s">
        <v>80</v>
      </c>
      <c r="AM266" t="s">
        <v>80</v>
      </c>
      <c r="AN266">
        <v>4</v>
      </c>
      <c r="AO266">
        <v>3</v>
      </c>
      <c r="AP266">
        <v>3</v>
      </c>
      <c r="AQ266">
        <v>1</v>
      </c>
      <c r="AR266">
        <v>1</v>
      </c>
      <c r="AS266">
        <v>3</v>
      </c>
      <c r="AT266">
        <v>0</v>
      </c>
      <c r="AU266" t="s">
        <v>109</v>
      </c>
      <c r="AV266">
        <v>10</v>
      </c>
      <c r="AW266">
        <v>0</v>
      </c>
    </row>
    <row r="267" spans="16:49" x14ac:dyDescent="0.25">
      <c r="P267">
        <v>266</v>
      </c>
      <c r="Q267" t="s">
        <v>68</v>
      </c>
      <c r="R267" t="s">
        <v>97</v>
      </c>
      <c r="S267">
        <v>18</v>
      </c>
      <c r="T267" t="s">
        <v>107</v>
      </c>
      <c r="U267" t="s">
        <v>88</v>
      </c>
      <c r="V267" t="s">
        <v>72</v>
      </c>
      <c r="W267" t="s">
        <v>95</v>
      </c>
      <c r="X267" t="s">
        <v>73</v>
      </c>
      <c r="Y267" t="s">
        <v>85</v>
      </c>
      <c r="Z267" t="s">
        <v>85</v>
      </c>
      <c r="AA267" t="s">
        <v>98</v>
      </c>
      <c r="AB267" t="s">
        <v>77</v>
      </c>
      <c r="AC267" t="s">
        <v>78</v>
      </c>
      <c r="AD267" t="s">
        <v>79</v>
      </c>
      <c r="AE267">
        <v>0</v>
      </c>
      <c r="AF267" t="s">
        <v>81</v>
      </c>
      <c r="AG267" t="s">
        <v>80</v>
      </c>
      <c r="AH267" t="s">
        <v>80</v>
      </c>
      <c r="AI267" t="s">
        <v>80</v>
      </c>
      <c r="AJ267" t="s">
        <v>80</v>
      </c>
      <c r="AK267" t="s">
        <v>80</v>
      </c>
      <c r="AL267" t="s">
        <v>80</v>
      </c>
      <c r="AM267" t="s">
        <v>81</v>
      </c>
      <c r="AN267">
        <v>4</v>
      </c>
      <c r="AO267">
        <v>2</v>
      </c>
      <c r="AP267">
        <v>5</v>
      </c>
      <c r="AQ267">
        <v>3</v>
      </c>
      <c r="AR267">
        <v>4</v>
      </c>
      <c r="AS267">
        <v>1</v>
      </c>
      <c r="AT267">
        <v>13</v>
      </c>
      <c r="AU267" t="s">
        <v>110</v>
      </c>
      <c r="AV267">
        <v>17</v>
      </c>
      <c r="AW267">
        <v>17</v>
      </c>
    </row>
    <row r="268" spans="16:49" x14ac:dyDescent="0.25">
      <c r="P268">
        <v>267</v>
      </c>
      <c r="Q268" t="s">
        <v>68</v>
      </c>
      <c r="R268" t="s">
        <v>97</v>
      </c>
      <c r="S268">
        <v>17</v>
      </c>
      <c r="T268" t="s">
        <v>70</v>
      </c>
      <c r="U268" t="s">
        <v>71</v>
      </c>
      <c r="V268" t="s">
        <v>83</v>
      </c>
      <c r="W268" t="s">
        <v>95</v>
      </c>
      <c r="X268" t="s">
        <v>84</v>
      </c>
      <c r="Y268" t="s">
        <v>91</v>
      </c>
      <c r="Z268" t="s">
        <v>85</v>
      </c>
      <c r="AA268" t="s">
        <v>85</v>
      </c>
      <c r="AB268" t="s">
        <v>77</v>
      </c>
      <c r="AC268" t="s">
        <v>87</v>
      </c>
      <c r="AD268" t="s">
        <v>79</v>
      </c>
      <c r="AE268">
        <v>0</v>
      </c>
      <c r="AF268" t="s">
        <v>81</v>
      </c>
      <c r="AG268" t="s">
        <v>81</v>
      </c>
      <c r="AH268" t="s">
        <v>80</v>
      </c>
      <c r="AI268" t="s">
        <v>80</v>
      </c>
      <c r="AJ268" t="s">
        <v>80</v>
      </c>
      <c r="AK268" t="s">
        <v>80</v>
      </c>
      <c r="AL268" t="s">
        <v>80</v>
      </c>
      <c r="AM268" t="s">
        <v>80</v>
      </c>
      <c r="AN268">
        <v>5</v>
      </c>
      <c r="AO268">
        <v>4</v>
      </c>
      <c r="AP268">
        <v>4</v>
      </c>
      <c r="AQ268">
        <v>3</v>
      </c>
      <c r="AR268">
        <v>4</v>
      </c>
      <c r="AS268">
        <v>5</v>
      </c>
      <c r="AT268">
        <v>2</v>
      </c>
      <c r="AU268" t="s">
        <v>109</v>
      </c>
      <c r="AV268">
        <v>9</v>
      </c>
      <c r="AW268">
        <v>10</v>
      </c>
    </row>
    <row r="269" spans="16:49" x14ac:dyDescent="0.25">
      <c r="P269">
        <v>268</v>
      </c>
      <c r="Q269" t="s">
        <v>68</v>
      </c>
      <c r="R269" t="s">
        <v>69</v>
      </c>
      <c r="S269">
        <v>18</v>
      </c>
      <c r="T269" t="s">
        <v>107</v>
      </c>
      <c r="U269" t="s">
        <v>71</v>
      </c>
      <c r="V269" t="s">
        <v>83</v>
      </c>
      <c r="W269" t="s">
        <v>73</v>
      </c>
      <c r="X269" t="s">
        <v>73</v>
      </c>
      <c r="Y269" t="s">
        <v>75</v>
      </c>
      <c r="Z269" t="s">
        <v>85</v>
      </c>
      <c r="AA269" t="s">
        <v>98</v>
      </c>
      <c r="AB269" t="s">
        <v>77</v>
      </c>
      <c r="AC269" t="s">
        <v>78</v>
      </c>
      <c r="AD269" t="s">
        <v>79</v>
      </c>
      <c r="AE269">
        <v>0</v>
      </c>
      <c r="AF269" t="s">
        <v>81</v>
      </c>
      <c r="AG269" t="s">
        <v>81</v>
      </c>
      <c r="AH269" t="s">
        <v>80</v>
      </c>
      <c r="AI269" t="s">
        <v>80</v>
      </c>
      <c r="AJ269" t="s">
        <v>80</v>
      </c>
      <c r="AK269" t="s">
        <v>80</v>
      </c>
      <c r="AL269" t="s">
        <v>80</v>
      </c>
      <c r="AM269" t="s">
        <v>81</v>
      </c>
      <c r="AN269">
        <v>4</v>
      </c>
      <c r="AO269">
        <v>3</v>
      </c>
      <c r="AP269">
        <v>4</v>
      </c>
      <c r="AQ269">
        <v>2</v>
      </c>
      <c r="AR269">
        <v>2</v>
      </c>
      <c r="AS269">
        <v>4</v>
      </c>
      <c r="AT269">
        <v>8</v>
      </c>
      <c r="AU269" t="s">
        <v>99</v>
      </c>
      <c r="AV269">
        <v>10</v>
      </c>
      <c r="AW269">
        <v>11</v>
      </c>
    </row>
    <row r="270" spans="16:49" x14ac:dyDescent="0.25">
      <c r="P270">
        <v>269</v>
      </c>
      <c r="Q270" t="s">
        <v>68</v>
      </c>
      <c r="R270" t="s">
        <v>97</v>
      </c>
      <c r="S270">
        <v>18</v>
      </c>
      <c r="T270" t="s">
        <v>70</v>
      </c>
      <c r="U270" t="s">
        <v>71</v>
      </c>
      <c r="V270" t="s">
        <v>83</v>
      </c>
      <c r="W270" t="s">
        <v>73</v>
      </c>
      <c r="X270" t="s">
        <v>90</v>
      </c>
      <c r="Y270" t="s">
        <v>63</v>
      </c>
      <c r="Z270" t="s">
        <v>85</v>
      </c>
      <c r="AA270" t="s">
        <v>98</v>
      </c>
      <c r="AB270" t="s">
        <v>86</v>
      </c>
      <c r="AC270" t="s">
        <v>87</v>
      </c>
      <c r="AD270" t="s">
        <v>79</v>
      </c>
      <c r="AE270">
        <v>0</v>
      </c>
      <c r="AF270" t="s">
        <v>81</v>
      </c>
      <c r="AG270" t="s">
        <v>80</v>
      </c>
      <c r="AH270" t="s">
        <v>80</v>
      </c>
      <c r="AI270" t="s">
        <v>80</v>
      </c>
      <c r="AJ270" t="s">
        <v>80</v>
      </c>
      <c r="AK270" t="s">
        <v>80</v>
      </c>
      <c r="AL270" t="s">
        <v>80</v>
      </c>
      <c r="AM270" t="s">
        <v>80</v>
      </c>
      <c r="AN270">
        <v>5</v>
      </c>
      <c r="AO270">
        <v>4</v>
      </c>
      <c r="AP270">
        <v>5</v>
      </c>
      <c r="AQ270">
        <v>1</v>
      </c>
      <c r="AR270">
        <v>3</v>
      </c>
      <c r="AS270">
        <v>5</v>
      </c>
      <c r="AT270">
        <v>10</v>
      </c>
      <c r="AU270" t="s">
        <v>102</v>
      </c>
      <c r="AV270">
        <v>9</v>
      </c>
      <c r="AW270">
        <v>10</v>
      </c>
    </row>
    <row r="271" spans="16:49" x14ac:dyDescent="0.25">
      <c r="P271">
        <v>270</v>
      </c>
      <c r="Q271" t="s">
        <v>68</v>
      </c>
      <c r="R271" t="s">
        <v>69</v>
      </c>
      <c r="S271">
        <v>18</v>
      </c>
      <c r="T271" t="s">
        <v>107</v>
      </c>
      <c r="U271" t="s">
        <v>71</v>
      </c>
      <c r="V271" t="s">
        <v>83</v>
      </c>
      <c r="W271" t="s">
        <v>90</v>
      </c>
      <c r="X271" t="s">
        <v>84</v>
      </c>
      <c r="Y271" t="s">
        <v>85</v>
      </c>
      <c r="Z271" t="s">
        <v>85</v>
      </c>
      <c r="AA271" t="s">
        <v>98</v>
      </c>
      <c r="AB271" t="s">
        <v>77</v>
      </c>
      <c r="AC271" t="s">
        <v>78</v>
      </c>
      <c r="AD271" t="s">
        <v>79</v>
      </c>
      <c r="AE271">
        <v>0</v>
      </c>
      <c r="AF271" t="s">
        <v>81</v>
      </c>
      <c r="AG271" t="s">
        <v>80</v>
      </c>
      <c r="AH271" t="s">
        <v>81</v>
      </c>
      <c r="AI271" t="s">
        <v>81</v>
      </c>
      <c r="AJ271" t="s">
        <v>80</v>
      </c>
      <c r="AK271" t="s">
        <v>81</v>
      </c>
      <c r="AL271" t="s">
        <v>80</v>
      </c>
      <c r="AM271" t="s">
        <v>80</v>
      </c>
      <c r="AN271">
        <v>4</v>
      </c>
      <c r="AO271">
        <v>3</v>
      </c>
      <c r="AP271">
        <v>5</v>
      </c>
      <c r="AQ271">
        <v>1</v>
      </c>
      <c r="AR271">
        <v>2</v>
      </c>
      <c r="AS271">
        <v>3</v>
      </c>
      <c r="AT271">
        <v>0</v>
      </c>
      <c r="AU271" t="s">
        <v>96</v>
      </c>
      <c r="AV271">
        <v>0</v>
      </c>
      <c r="AW271">
        <v>0</v>
      </c>
    </row>
    <row r="272" spans="16:49" x14ac:dyDescent="0.25">
      <c r="P272">
        <v>271</v>
      </c>
      <c r="Q272" t="s">
        <v>68</v>
      </c>
      <c r="R272" t="s">
        <v>69</v>
      </c>
      <c r="S272">
        <v>19</v>
      </c>
      <c r="T272" t="s">
        <v>70</v>
      </c>
      <c r="U272" t="s">
        <v>71</v>
      </c>
      <c r="V272" t="s">
        <v>83</v>
      </c>
      <c r="W272" t="s">
        <v>95</v>
      </c>
      <c r="X272" t="s">
        <v>95</v>
      </c>
      <c r="Y272" t="s">
        <v>85</v>
      </c>
      <c r="Z272" t="s">
        <v>91</v>
      </c>
      <c r="AA272" t="s">
        <v>92</v>
      </c>
      <c r="AB272" t="s">
        <v>85</v>
      </c>
      <c r="AC272" t="s">
        <v>87</v>
      </c>
      <c r="AD272" t="s">
        <v>79</v>
      </c>
      <c r="AE272">
        <v>2</v>
      </c>
      <c r="AF272" t="s">
        <v>81</v>
      </c>
      <c r="AG272" t="s">
        <v>80</v>
      </c>
      <c r="AH272" t="s">
        <v>80</v>
      </c>
      <c r="AI272" t="s">
        <v>80</v>
      </c>
      <c r="AJ272" t="s">
        <v>80</v>
      </c>
      <c r="AK272" t="s">
        <v>80</v>
      </c>
      <c r="AL272" t="s">
        <v>80</v>
      </c>
      <c r="AM272" t="s">
        <v>81</v>
      </c>
      <c r="AN272">
        <v>4</v>
      </c>
      <c r="AO272">
        <v>3</v>
      </c>
      <c r="AP272">
        <v>5</v>
      </c>
      <c r="AQ272">
        <v>3</v>
      </c>
      <c r="AR272">
        <v>3</v>
      </c>
      <c r="AS272">
        <v>5</v>
      </c>
      <c r="AT272">
        <v>15</v>
      </c>
      <c r="AU272" t="s">
        <v>109</v>
      </c>
      <c r="AV272">
        <v>9</v>
      </c>
      <c r="AW272">
        <v>9</v>
      </c>
    </row>
    <row r="273" spans="16:49" x14ac:dyDescent="0.25">
      <c r="P273">
        <v>272</v>
      </c>
      <c r="Q273" t="s">
        <v>68</v>
      </c>
      <c r="R273" t="s">
        <v>69</v>
      </c>
      <c r="S273">
        <v>18</v>
      </c>
      <c r="T273" t="s">
        <v>70</v>
      </c>
      <c r="U273" t="s">
        <v>71</v>
      </c>
      <c r="V273" t="s">
        <v>83</v>
      </c>
      <c r="W273" t="s">
        <v>90</v>
      </c>
      <c r="X273" t="s">
        <v>95</v>
      </c>
      <c r="Y273" t="s">
        <v>85</v>
      </c>
      <c r="Z273" t="s">
        <v>91</v>
      </c>
      <c r="AA273" t="s">
        <v>98</v>
      </c>
      <c r="AB273" t="s">
        <v>86</v>
      </c>
      <c r="AC273" t="s">
        <v>87</v>
      </c>
      <c r="AD273" t="s">
        <v>112</v>
      </c>
      <c r="AE273">
        <v>0</v>
      </c>
      <c r="AF273" t="s">
        <v>81</v>
      </c>
      <c r="AG273" t="s">
        <v>80</v>
      </c>
      <c r="AH273" t="s">
        <v>80</v>
      </c>
      <c r="AI273" t="s">
        <v>80</v>
      </c>
      <c r="AJ273" t="s">
        <v>80</v>
      </c>
      <c r="AK273" t="s">
        <v>80</v>
      </c>
      <c r="AL273" t="s">
        <v>80</v>
      </c>
      <c r="AM273" t="s">
        <v>80</v>
      </c>
      <c r="AN273">
        <v>4</v>
      </c>
      <c r="AO273">
        <v>5</v>
      </c>
      <c r="AP273">
        <v>5</v>
      </c>
      <c r="AQ273">
        <v>1</v>
      </c>
      <c r="AR273">
        <v>3</v>
      </c>
      <c r="AS273">
        <v>2</v>
      </c>
      <c r="AT273">
        <v>4</v>
      </c>
      <c r="AU273" t="s">
        <v>94</v>
      </c>
      <c r="AV273">
        <v>14</v>
      </c>
      <c r="AW273">
        <v>14</v>
      </c>
    </row>
    <row r="274" spans="16:49" x14ac:dyDescent="0.25">
      <c r="P274">
        <v>273</v>
      </c>
      <c r="Q274" t="s">
        <v>68</v>
      </c>
      <c r="R274" t="s">
        <v>69</v>
      </c>
      <c r="S274">
        <v>18</v>
      </c>
      <c r="T274" t="s">
        <v>70</v>
      </c>
      <c r="U274" t="s">
        <v>88</v>
      </c>
      <c r="V274" t="s">
        <v>83</v>
      </c>
      <c r="W274" t="s">
        <v>84</v>
      </c>
      <c r="X274" t="s">
        <v>84</v>
      </c>
      <c r="Y274" t="s">
        <v>85</v>
      </c>
      <c r="Z274" t="s">
        <v>85</v>
      </c>
      <c r="AA274" t="s">
        <v>92</v>
      </c>
      <c r="AB274" t="s">
        <v>77</v>
      </c>
      <c r="AC274" t="s">
        <v>78</v>
      </c>
      <c r="AD274" t="s">
        <v>79</v>
      </c>
      <c r="AE274">
        <v>0</v>
      </c>
      <c r="AF274" t="s">
        <v>81</v>
      </c>
      <c r="AG274" t="s">
        <v>80</v>
      </c>
      <c r="AH274" t="s">
        <v>80</v>
      </c>
      <c r="AI274" t="s">
        <v>81</v>
      </c>
      <c r="AJ274" t="s">
        <v>81</v>
      </c>
      <c r="AK274" t="s">
        <v>80</v>
      </c>
      <c r="AL274" t="s">
        <v>81</v>
      </c>
      <c r="AM274" t="s">
        <v>81</v>
      </c>
      <c r="AN274">
        <v>4</v>
      </c>
      <c r="AO274">
        <v>4</v>
      </c>
      <c r="AP274">
        <v>3</v>
      </c>
      <c r="AQ274">
        <v>1</v>
      </c>
      <c r="AR274">
        <v>1</v>
      </c>
      <c r="AS274">
        <v>3</v>
      </c>
      <c r="AT274">
        <v>2</v>
      </c>
      <c r="AU274" t="s">
        <v>108</v>
      </c>
      <c r="AV274">
        <v>11</v>
      </c>
      <c r="AW274">
        <v>11</v>
      </c>
    </row>
    <row r="275" spans="16:49" x14ac:dyDescent="0.25">
      <c r="P275">
        <v>274</v>
      </c>
      <c r="Q275" t="s">
        <v>68</v>
      </c>
      <c r="R275" t="s">
        <v>97</v>
      </c>
      <c r="S275">
        <v>17</v>
      </c>
      <c r="T275" t="s">
        <v>107</v>
      </c>
      <c r="U275" t="s">
        <v>71</v>
      </c>
      <c r="V275" t="s">
        <v>83</v>
      </c>
      <c r="W275" t="s">
        <v>84</v>
      </c>
      <c r="X275" t="s">
        <v>90</v>
      </c>
      <c r="Y275" t="s">
        <v>74</v>
      </c>
      <c r="Z275" t="s">
        <v>74</v>
      </c>
      <c r="AA275" t="s">
        <v>92</v>
      </c>
      <c r="AB275" t="s">
        <v>77</v>
      </c>
      <c r="AC275" t="s">
        <v>87</v>
      </c>
      <c r="AD275" t="s">
        <v>79</v>
      </c>
      <c r="AE275">
        <v>0</v>
      </c>
      <c r="AF275" t="s">
        <v>81</v>
      </c>
      <c r="AG275" t="s">
        <v>80</v>
      </c>
      <c r="AH275" t="s">
        <v>80</v>
      </c>
      <c r="AI275" t="s">
        <v>80</v>
      </c>
      <c r="AJ275" t="s">
        <v>81</v>
      </c>
      <c r="AK275" t="s">
        <v>80</v>
      </c>
      <c r="AL275" t="s">
        <v>81</v>
      </c>
      <c r="AM275" t="s">
        <v>80</v>
      </c>
      <c r="AN275">
        <v>3</v>
      </c>
      <c r="AO275">
        <v>5</v>
      </c>
      <c r="AP275">
        <v>2</v>
      </c>
      <c r="AQ275">
        <v>2</v>
      </c>
      <c r="AR275">
        <v>2</v>
      </c>
      <c r="AS275">
        <v>1</v>
      </c>
      <c r="AT275">
        <v>2</v>
      </c>
      <c r="AU275" t="s">
        <v>94</v>
      </c>
      <c r="AV275">
        <v>14</v>
      </c>
      <c r="AW275">
        <v>14</v>
      </c>
    </row>
    <row r="276" spans="16:49" x14ac:dyDescent="0.25">
      <c r="P276">
        <v>275</v>
      </c>
      <c r="Q276" t="s">
        <v>68</v>
      </c>
      <c r="R276" t="s">
        <v>69</v>
      </c>
      <c r="S276">
        <v>17</v>
      </c>
      <c r="T276" t="s">
        <v>70</v>
      </c>
      <c r="U276" t="s">
        <v>71</v>
      </c>
      <c r="V276" t="s">
        <v>83</v>
      </c>
      <c r="W276" t="s">
        <v>90</v>
      </c>
      <c r="X276" t="s">
        <v>73</v>
      </c>
      <c r="Y276" t="s">
        <v>74</v>
      </c>
      <c r="Z276" t="s">
        <v>63</v>
      </c>
      <c r="AA276" t="s">
        <v>98</v>
      </c>
      <c r="AB276" t="s">
        <v>77</v>
      </c>
      <c r="AC276" t="s">
        <v>78</v>
      </c>
      <c r="AD276" t="s">
        <v>79</v>
      </c>
      <c r="AE276">
        <v>0</v>
      </c>
      <c r="AF276" t="s">
        <v>81</v>
      </c>
      <c r="AG276" t="s">
        <v>80</v>
      </c>
      <c r="AH276" t="s">
        <v>80</v>
      </c>
      <c r="AI276" t="s">
        <v>81</v>
      </c>
      <c r="AJ276" t="s">
        <v>80</v>
      </c>
      <c r="AK276" t="s">
        <v>80</v>
      </c>
      <c r="AL276" t="s">
        <v>80</v>
      </c>
      <c r="AM276" t="s">
        <v>80</v>
      </c>
      <c r="AN276">
        <v>4</v>
      </c>
      <c r="AO276">
        <v>3</v>
      </c>
      <c r="AP276">
        <v>3</v>
      </c>
      <c r="AQ276">
        <v>1</v>
      </c>
      <c r="AR276">
        <v>1</v>
      </c>
      <c r="AS276">
        <v>1</v>
      </c>
      <c r="AT276">
        <v>2</v>
      </c>
      <c r="AU276" t="s">
        <v>102</v>
      </c>
      <c r="AV276">
        <v>10</v>
      </c>
      <c r="AW276">
        <v>10</v>
      </c>
    </row>
    <row r="277" spans="16:49" x14ac:dyDescent="0.25">
      <c r="P277">
        <v>276</v>
      </c>
      <c r="Q277" t="s">
        <v>68</v>
      </c>
      <c r="R277" t="s">
        <v>69</v>
      </c>
      <c r="S277">
        <v>17</v>
      </c>
      <c r="T277" t="s">
        <v>70</v>
      </c>
      <c r="U277" t="s">
        <v>88</v>
      </c>
      <c r="V277" t="s">
        <v>83</v>
      </c>
      <c r="W277" t="s">
        <v>90</v>
      </c>
      <c r="X277" t="s">
        <v>90</v>
      </c>
      <c r="Y277" t="s">
        <v>91</v>
      </c>
      <c r="Z277" t="s">
        <v>85</v>
      </c>
      <c r="AA277" t="s">
        <v>76</v>
      </c>
      <c r="AB277" t="s">
        <v>77</v>
      </c>
      <c r="AC277" t="s">
        <v>78</v>
      </c>
      <c r="AD277" t="s">
        <v>79</v>
      </c>
      <c r="AE277">
        <v>0</v>
      </c>
      <c r="AF277" t="s">
        <v>80</v>
      </c>
      <c r="AG277" t="s">
        <v>80</v>
      </c>
      <c r="AH277" t="s">
        <v>80</v>
      </c>
      <c r="AI277" t="s">
        <v>81</v>
      </c>
      <c r="AJ277" t="s">
        <v>80</v>
      </c>
      <c r="AK277" t="s">
        <v>80</v>
      </c>
      <c r="AL277" t="s">
        <v>80</v>
      </c>
      <c r="AM277" t="s">
        <v>80</v>
      </c>
      <c r="AN277">
        <v>4</v>
      </c>
      <c r="AO277">
        <v>4</v>
      </c>
      <c r="AP277">
        <v>4</v>
      </c>
      <c r="AQ277">
        <v>2</v>
      </c>
      <c r="AR277">
        <v>3</v>
      </c>
      <c r="AS277">
        <v>5</v>
      </c>
      <c r="AT277">
        <v>6</v>
      </c>
      <c r="AU277" t="s">
        <v>99</v>
      </c>
      <c r="AV277">
        <v>12</v>
      </c>
      <c r="AW277">
        <v>12</v>
      </c>
    </row>
    <row r="278" spans="16:49" x14ac:dyDescent="0.25">
      <c r="P278">
        <v>277</v>
      </c>
      <c r="Q278" t="s">
        <v>68</v>
      </c>
      <c r="R278" t="s">
        <v>69</v>
      </c>
      <c r="S278">
        <v>18</v>
      </c>
      <c r="T278" t="s">
        <v>107</v>
      </c>
      <c r="U278" t="s">
        <v>71</v>
      </c>
      <c r="V278" t="s">
        <v>72</v>
      </c>
      <c r="W278" t="s">
        <v>95</v>
      </c>
      <c r="X278" t="s">
        <v>90</v>
      </c>
      <c r="Y278" t="s">
        <v>85</v>
      </c>
      <c r="Z278" t="s">
        <v>91</v>
      </c>
      <c r="AA278" t="s">
        <v>92</v>
      </c>
      <c r="AB278" t="s">
        <v>77</v>
      </c>
      <c r="AC278" t="s">
        <v>78</v>
      </c>
      <c r="AD278" t="s">
        <v>79</v>
      </c>
      <c r="AE278">
        <v>0</v>
      </c>
      <c r="AF278" t="s">
        <v>81</v>
      </c>
      <c r="AG278" t="s">
        <v>81</v>
      </c>
      <c r="AH278" t="s">
        <v>81</v>
      </c>
      <c r="AI278" t="s">
        <v>81</v>
      </c>
      <c r="AJ278" t="s">
        <v>81</v>
      </c>
      <c r="AK278" t="s">
        <v>81</v>
      </c>
      <c r="AL278" t="s">
        <v>80</v>
      </c>
      <c r="AM278" t="s">
        <v>80</v>
      </c>
      <c r="AN278">
        <v>4</v>
      </c>
      <c r="AO278">
        <v>1</v>
      </c>
      <c r="AP278">
        <v>1</v>
      </c>
      <c r="AQ278">
        <v>1</v>
      </c>
      <c r="AR278">
        <v>1</v>
      </c>
      <c r="AS278">
        <v>5</v>
      </c>
      <c r="AT278">
        <v>75</v>
      </c>
      <c r="AU278" t="s">
        <v>102</v>
      </c>
      <c r="AV278">
        <v>9</v>
      </c>
      <c r="AW278">
        <v>9</v>
      </c>
    </row>
    <row r="279" spans="16:49" x14ac:dyDescent="0.25">
      <c r="P279">
        <v>278</v>
      </c>
      <c r="Q279" t="s">
        <v>68</v>
      </c>
      <c r="R279" t="s">
        <v>97</v>
      </c>
      <c r="S279">
        <v>18</v>
      </c>
      <c r="T279" t="s">
        <v>70</v>
      </c>
      <c r="U279" t="s">
        <v>71</v>
      </c>
      <c r="V279" t="s">
        <v>83</v>
      </c>
      <c r="W279" t="s">
        <v>73</v>
      </c>
      <c r="X279" t="s">
        <v>73</v>
      </c>
      <c r="Y279" t="s">
        <v>75</v>
      </c>
      <c r="Z279" t="s">
        <v>91</v>
      </c>
      <c r="AA279" t="s">
        <v>92</v>
      </c>
      <c r="AB279" t="s">
        <v>77</v>
      </c>
      <c r="AC279" t="s">
        <v>78</v>
      </c>
      <c r="AD279" t="s">
        <v>104</v>
      </c>
      <c r="AE279">
        <v>0</v>
      </c>
      <c r="AF279" t="s">
        <v>81</v>
      </c>
      <c r="AG279" t="s">
        <v>81</v>
      </c>
      <c r="AH279" t="s">
        <v>80</v>
      </c>
      <c r="AI279" t="s">
        <v>80</v>
      </c>
      <c r="AJ279" t="s">
        <v>80</v>
      </c>
      <c r="AK279" t="s">
        <v>80</v>
      </c>
      <c r="AL279" t="s">
        <v>80</v>
      </c>
      <c r="AM279" t="s">
        <v>81</v>
      </c>
      <c r="AN279">
        <v>3</v>
      </c>
      <c r="AO279">
        <v>2</v>
      </c>
      <c r="AP279">
        <v>4</v>
      </c>
      <c r="AQ279">
        <v>1</v>
      </c>
      <c r="AR279">
        <v>4</v>
      </c>
      <c r="AS279">
        <v>3</v>
      </c>
      <c r="AT279">
        <v>22</v>
      </c>
      <c r="AU279" t="s">
        <v>109</v>
      </c>
      <c r="AV279">
        <v>9</v>
      </c>
      <c r="AW279">
        <v>9</v>
      </c>
    </row>
    <row r="280" spans="16:49" x14ac:dyDescent="0.25">
      <c r="P280">
        <v>279</v>
      </c>
      <c r="Q280" t="s">
        <v>68</v>
      </c>
      <c r="R280" t="s">
        <v>69</v>
      </c>
      <c r="S280">
        <v>18</v>
      </c>
      <c r="T280" t="s">
        <v>70</v>
      </c>
      <c r="U280" t="s">
        <v>71</v>
      </c>
      <c r="V280" t="s">
        <v>83</v>
      </c>
      <c r="W280" t="s">
        <v>73</v>
      </c>
      <c r="X280" t="s">
        <v>73</v>
      </c>
      <c r="Y280" t="s">
        <v>63</v>
      </c>
      <c r="Z280" t="s">
        <v>63</v>
      </c>
      <c r="AA280" t="s">
        <v>98</v>
      </c>
      <c r="AB280" t="s">
        <v>86</v>
      </c>
      <c r="AC280" t="s">
        <v>87</v>
      </c>
      <c r="AD280" t="s">
        <v>79</v>
      </c>
      <c r="AE280">
        <v>1</v>
      </c>
      <c r="AF280" t="s">
        <v>80</v>
      </c>
      <c r="AG280" t="s">
        <v>80</v>
      </c>
      <c r="AH280" t="s">
        <v>81</v>
      </c>
      <c r="AI280" t="s">
        <v>80</v>
      </c>
      <c r="AJ280" t="s">
        <v>80</v>
      </c>
      <c r="AK280" t="s">
        <v>80</v>
      </c>
      <c r="AL280" t="s">
        <v>80</v>
      </c>
      <c r="AM280" t="s">
        <v>80</v>
      </c>
      <c r="AN280">
        <v>2</v>
      </c>
      <c r="AO280">
        <v>4</v>
      </c>
      <c r="AP280">
        <v>4</v>
      </c>
      <c r="AQ280">
        <v>1</v>
      </c>
      <c r="AR280">
        <v>1</v>
      </c>
      <c r="AS280">
        <v>4</v>
      </c>
      <c r="AT280">
        <v>15</v>
      </c>
      <c r="AU280" t="s">
        <v>109</v>
      </c>
      <c r="AV280">
        <v>8</v>
      </c>
      <c r="AW280">
        <v>8</v>
      </c>
    </row>
    <row r="281" spans="16:49" x14ac:dyDescent="0.25">
      <c r="P281">
        <v>280</v>
      </c>
      <c r="Q281" t="s">
        <v>68</v>
      </c>
      <c r="R281" t="s">
        <v>97</v>
      </c>
      <c r="S281">
        <v>18</v>
      </c>
      <c r="T281" t="s">
        <v>70</v>
      </c>
      <c r="U281" t="s">
        <v>88</v>
      </c>
      <c r="V281" t="s">
        <v>83</v>
      </c>
      <c r="W281" t="s">
        <v>73</v>
      </c>
      <c r="X281" t="s">
        <v>95</v>
      </c>
      <c r="Y281" t="s">
        <v>75</v>
      </c>
      <c r="Z281" t="s">
        <v>91</v>
      </c>
      <c r="AA281" t="s">
        <v>76</v>
      </c>
      <c r="AB281" t="s">
        <v>77</v>
      </c>
      <c r="AC281" t="s">
        <v>78</v>
      </c>
      <c r="AD281" t="s">
        <v>104</v>
      </c>
      <c r="AE281">
        <v>0</v>
      </c>
      <c r="AF281" t="s">
        <v>81</v>
      </c>
      <c r="AG281" t="s">
        <v>81</v>
      </c>
      <c r="AH281" t="s">
        <v>80</v>
      </c>
      <c r="AI281" t="s">
        <v>80</v>
      </c>
      <c r="AJ281" t="s">
        <v>80</v>
      </c>
      <c r="AK281" t="s">
        <v>80</v>
      </c>
      <c r="AL281" t="s">
        <v>80</v>
      </c>
      <c r="AM281" t="s">
        <v>81</v>
      </c>
      <c r="AN281">
        <v>4</v>
      </c>
      <c r="AO281">
        <v>2</v>
      </c>
      <c r="AP281">
        <v>3</v>
      </c>
      <c r="AQ281">
        <v>1</v>
      </c>
      <c r="AR281">
        <v>2</v>
      </c>
      <c r="AS281">
        <v>1</v>
      </c>
      <c r="AT281">
        <v>8</v>
      </c>
      <c r="AU281" t="s">
        <v>102</v>
      </c>
      <c r="AV281">
        <v>11</v>
      </c>
      <c r="AW281">
        <v>10</v>
      </c>
    </row>
    <row r="282" spans="16:49" x14ac:dyDescent="0.25">
      <c r="P282">
        <v>281</v>
      </c>
      <c r="Q282" t="s">
        <v>68</v>
      </c>
      <c r="R282" t="s">
        <v>97</v>
      </c>
      <c r="S282">
        <v>17</v>
      </c>
      <c r="T282" t="s">
        <v>70</v>
      </c>
      <c r="U282" t="s">
        <v>88</v>
      </c>
      <c r="V282" t="s">
        <v>72</v>
      </c>
      <c r="W282" t="s">
        <v>73</v>
      </c>
      <c r="X282" t="s">
        <v>84</v>
      </c>
      <c r="Y282" t="s">
        <v>91</v>
      </c>
      <c r="Z282" t="s">
        <v>85</v>
      </c>
      <c r="AA282" t="s">
        <v>92</v>
      </c>
      <c r="AB282" t="s">
        <v>77</v>
      </c>
      <c r="AC282" t="s">
        <v>78</v>
      </c>
      <c r="AD282" t="s">
        <v>104</v>
      </c>
      <c r="AE282">
        <v>0</v>
      </c>
      <c r="AF282" t="s">
        <v>81</v>
      </c>
      <c r="AG282" t="s">
        <v>81</v>
      </c>
      <c r="AH282" t="s">
        <v>80</v>
      </c>
      <c r="AI282" t="s">
        <v>80</v>
      </c>
      <c r="AJ282" t="s">
        <v>80</v>
      </c>
      <c r="AK282" t="s">
        <v>80</v>
      </c>
      <c r="AL282" t="s">
        <v>80</v>
      </c>
      <c r="AM282" t="s">
        <v>80</v>
      </c>
      <c r="AN282">
        <v>4</v>
      </c>
      <c r="AO282">
        <v>5</v>
      </c>
      <c r="AP282">
        <v>4</v>
      </c>
      <c r="AQ282">
        <v>2</v>
      </c>
      <c r="AR282">
        <v>4</v>
      </c>
      <c r="AS282">
        <v>5</v>
      </c>
      <c r="AT282">
        <v>30</v>
      </c>
      <c r="AU282" t="s">
        <v>106</v>
      </c>
      <c r="AV282">
        <v>8</v>
      </c>
      <c r="AW282">
        <v>8</v>
      </c>
    </row>
    <row r="283" spans="16:49" x14ac:dyDescent="0.25">
      <c r="P283">
        <v>282</v>
      </c>
      <c r="Q283" t="s">
        <v>68</v>
      </c>
      <c r="R283" t="s">
        <v>97</v>
      </c>
      <c r="S283">
        <v>17</v>
      </c>
      <c r="T283" t="s">
        <v>70</v>
      </c>
      <c r="U283" t="s">
        <v>88</v>
      </c>
      <c r="V283" t="s">
        <v>72</v>
      </c>
      <c r="W283" t="s">
        <v>95</v>
      </c>
      <c r="X283" t="s">
        <v>90</v>
      </c>
      <c r="Y283" t="s">
        <v>75</v>
      </c>
      <c r="Z283" t="s">
        <v>91</v>
      </c>
      <c r="AA283" t="s">
        <v>92</v>
      </c>
      <c r="AB283" t="s">
        <v>77</v>
      </c>
      <c r="AC283" t="s">
        <v>87</v>
      </c>
      <c r="AD283" t="s">
        <v>104</v>
      </c>
      <c r="AE283">
        <v>1</v>
      </c>
      <c r="AF283" t="s">
        <v>81</v>
      </c>
      <c r="AG283" t="s">
        <v>81</v>
      </c>
      <c r="AH283" t="s">
        <v>81</v>
      </c>
      <c r="AI283" t="s">
        <v>81</v>
      </c>
      <c r="AJ283" t="s">
        <v>80</v>
      </c>
      <c r="AK283" t="s">
        <v>80</v>
      </c>
      <c r="AL283" t="s">
        <v>80</v>
      </c>
      <c r="AM283" t="s">
        <v>81</v>
      </c>
      <c r="AN283">
        <v>4</v>
      </c>
      <c r="AO283">
        <v>4</v>
      </c>
      <c r="AP283">
        <v>4</v>
      </c>
      <c r="AQ283">
        <v>3</v>
      </c>
      <c r="AR283">
        <v>4</v>
      </c>
      <c r="AS283">
        <v>3</v>
      </c>
      <c r="AT283">
        <v>19</v>
      </c>
      <c r="AU283" t="s">
        <v>108</v>
      </c>
      <c r="AV283">
        <v>9</v>
      </c>
      <c r="AW283">
        <v>10</v>
      </c>
    </row>
    <row r="284" spans="16:49" x14ac:dyDescent="0.25">
      <c r="P284">
        <v>283</v>
      </c>
      <c r="Q284" t="s">
        <v>68</v>
      </c>
      <c r="R284" t="s">
        <v>69</v>
      </c>
      <c r="S284">
        <v>18</v>
      </c>
      <c r="T284" t="s">
        <v>107</v>
      </c>
      <c r="U284" t="s">
        <v>88</v>
      </c>
      <c r="V284" t="s">
        <v>83</v>
      </c>
      <c r="W284" t="s">
        <v>84</v>
      </c>
      <c r="X284" t="s">
        <v>84</v>
      </c>
      <c r="Y284" t="s">
        <v>74</v>
      </c>
      <c r="Z284" t="s">
        <v>85</v>
      </c>
      <c r="AA284" t="s">
        <v>98</v>
      </c>
      <c r="AB284" t="s">
        <v>77</v>
      </c>
      <c r="AC284" t="s">
        <v>78</v>
      </c>
      <c r="AD284" t="s">
        <v>112</v>
      </c>
      <c r="AE284">
        <v>0</v>
      </c>
      <c r="AF284" t="s">
        <v>81</v>
      </c>
      <c r="AG284" t="s">
        <v>80</v>
      </c>
      <c r="AH284" t="s">
        <v>80</v>
      </c>
      <c r="AI284" t="s">
        <v>80</v>
      </c>
      <c r="AJ284" t="s">
        <v>80</v>
      </c>
      <c r="AK284" t="s">
        <v>80</v>
      </c>
      <c r="AL284" t="s">
        <v>81</v>
      </c>
      <c r="AM284" t="s">
        <v>81</v>
      </c>
      <c r="AN284">
        <v>5</v>
      </c>
      <c r="AO284">
        <v>2</v>
      </c>
      <c r="AP284">
        <v>2</v>
      </c>
      <c r="AQ284">
        <v>1</v>
      </c>
      <c r="AR284">
        <v>1</v>
      </c>
      <c r="AS284">
        <v>3</v>
      </c>
      <c r="AT284">
        <v>1</v>
      </c>
      <c r="AU284" t="s">
        <v>99</v>
      </c>
      <c r="AV284">
        <v>12</v>
      </c>
      <c r="AW284">
        <v>12</v>
      </c>
    </row>
    <row r="285" spans="16:49" x14ac:dyDescent="0.25">
      <c r="P285">
        <v>284</v>
      </c>
      <c r="Q285" t="s">
        <v>68</v>
      </c>
      <c r="R285" t="s">
        <v>69</v>
      </c>
      <c r="S285">
        <v>18</v>
      </c>
      <c r="T285" t="s">
        <v>70</v>
      </c>
      <c r="U285" t="s">
        <v>71</v>
      </c>
      <c r="V285" t="s">
        <v>83</v>
      </c>
      <c r="W285" t="s">
        <v>84</v>
      </c>
      <c r="X285" t="s">
        <v>84</v>
      </c>
      <c r="Y285" t="s">
        <v>85</v>
      </c>
      <c r="Z285" t="s">
        <v>85</v>
      </c>
      <c r="AA285" t="s">
        <v>92</v>
      </c>
      <c r="AB285" t="s">
        <v>77</v>
      </c>
      <c r="AC285" t="s">
        <v>78</v>
      </c>
      <c r="AD285" t="s">
        <v>79</v>
      </c>
      <c r="AE285">
        <v>0</v>
      </c>
      <c r="AF285" t="s">
        <v>80</v>
      </c>
      <c r="AG285" t="s">
        <v>81</v>
      </c>
      <c r="AH285" t="s">
        <v>81</v>
      </c>
      <c r="AI285" t="s">
        <v>80</v>
      </c>
      <c r="AJ285" t="s">
        <v>80</v>
      </c>
      <c r="AK285" t="s">
        <v>80</v>
      </c>
      <c r="AL285" t="s">
        <v>80</v>
      </c>
      <c r="AM285" t="s">
        <v>81</v>
      </c>
      <c r="AN285">
        <v>5</v>
      </c>
      <c r="AO285">
        <v>4</v>
      </c>
      <c r="AP285">
        <v>4</v>
      </c>
      <c r="AQ285">
        <v>1</v>
      </c>
      <c r="AR285">
        <v>1</v>
      </c>
      <c r="AS285">
        <v>4</v>
      </c>
      <c r="AT285">
        <v>4</v>
      </c>
      <c r="AU285" t="s">
        <v>106</v>
      </c>
      <c r="AV285">
        <v>9</v>
      </c>
      <c r="AW285">
        <v>10</v>
      </c>
    </row>
    <row r="286" spans="16:49" x14ac:dyDescent="0.25">
      <c r="P286">
        <v>285</v>
      </c>
      <c r="Q286" t="s">
        <v>68</v>
      </c>
      <c r="R286" t="s">
        <v>69</v>
      </c>
      <c r="S286">
        <v>17</v>
      </c>
      <c r="T286" t="s">
        <v>70</v>
      </c>
      <c r="U286" t="s">
        <v>71</v>
      </c>
      <c r="V286" t="s">
        <v>83</v>
      </c>
      <c r="W286" t="s">
        <v>90</v>
      </c>
      <c r="X286" t="s">
        <v>90</v>
      </c>
      <c r="Y286" t="s">
        <v>85</v>
      </c>
      <c r="Z286" t="s">
        <v>85</v>
      </c>
      <c r="AA286" t="s">
        <v>76</v>
      </c>
      <c r="AB286" t="s">
        <v>77</v>
      </c>
      <c r="AC286" t="s">
        <v>87</v>
      </c>
      <c r="AD286" t="s">
        <v>79</v>
      </c>
      <c r="AE286">
        <v>0</v>
      </c>
      <c r="AF286" t="s">
        <v>81</v>
      </c>
      <c r="AG286" t="s">
        <v>80</v>
      </c>
      <c r="AH286" t="s">
        <v>81</v>
      </c>
      <c r="AI286" t="s">
        <v>81</v>
      </c>
      <c r="AJ286" t="s">
        <v>81</v>
      </c>
      <c r="AK286" t="s">
        <v>80</v>
      </c>
      <c r="AL286" t="s">
        <v>80</v>
      </c>
      <c r="AM286" t="s">
        <v>81</v>
      </c>
      <c r="AN286">
        <v>5</v>
      </c>
      <c r="AO286">
        <v>4</v>
      </c>
      <c r="AP286">
        <v>5</v>
      </c>
      <c r="AQ286">
        <v>1</v>
      </c>
      <c r="AR286">
        <v>2</v>
      </c>
      <c r="AS286">
        <v>5</v>
      </c>
      <c r="AT286">
        <v>4</v>
      </c>
      <c r="AU286" t="s">
        <v>102</v>
      </c>
      <c r="AV286">
        <v>9</v>
      </c>
      <c r="AW286">
        <v>11</v>
      </c>
    </row>
    <row r="287" spans="16:49" x14ac:dyDescent="0.25">
      <c r="P287">
        <v>286</v>
      </c>
      <c r="Q287" t="s">
        <v>68</v>
      </c>
      <c r="R287" t="s">
        <v>97</v>
      </c>
      <c r="S287">
        <v>17</v>
      </c>
      <c r="T287" t="s">
        <v>70</v>
      </c>
      <c r="U287" t="s">
        <v>71</v>
      </c>
      <c r="V287" t="s">
        <v>83</v>
      </c>
      <c r="W287" t="s">
        <v>84</v>
      </c>
      <c r="X287" t="s">
        <v>84</v>
      </c>
      <c r="Y287" t="s">
        <v>85</v>
      </c>
      <c r="Z287" t="s">
        <v>85</v>
      </c>
      <c r="AA287" t="s">
        <v>98</v>
      </c>
      <c r="AB287" t="s">
        <v>86</v>
      </c>
      <c r="AC287" t="s">
        <v>87</v>
      </c>
      <c r="AD287" t="s">
        <v>79</v>
      </c>
      <c r="AE287">
        <v>0</v>
      </c>
      <c r="AF287" t="s">
        <v>81</v>
      </c>
      <c r="AG287" t="s">
        <v>81</v>
      </c>
      <c r="AH287" t="s">
        <v>80</v>
      </c>
      <c r="AI287" t="s">
        <v>81</v>
      </c>
      <c r="AJ287" t="s">
        <v>81</v>
      </c>
      <c r="AK287" t="s">
        <v>80</v>
      </c>
      <c r="AL287" t="s">
        <v>80</v>
      </c>
      <c r="AM287" t="s">
        <v>81</v>
      </c>
      <c r="AN287">
        <v>4</v>
      </c>
      <c r="AO287">
        <v>3</v>
      </c>
      <c r="AP287">
        <v>3</v>
      </c>
      <c r="AQ287">
        <v>1</v>
      </c>
      <c r="AR287">
        <v>2</v>
      </c>
      <c r="AS287">
        <v>4</v>
      </c>
      <c r="AT287">
        <v>2</v>
      </c>
      <c r="AU287" t="s">
        <v>99</v>
      </c>
      <c r="AV287">
        <v>10</v>
      </c>
      <c r="AW287">
        <v>11</v>
      </c>
    </row>
    <row r="288" spans="16:49" x14ac:dyDescent="0.25">
      <c r="P288">
        <v>287</v>
      </c>
      <c r="Q288" t="s">
        <v>68</v>
      </c>
      <c r="R288" t="s">
        <v>69</v>
      </c>
      <c r="S288">
        <v>18</v>
      </c>
      <c r="T288" t="s">
        <v>70</v>
      </c>
      <c r="U288" t="s">
        <v>71</v>
      </c>
      <c r="V288" t="s">
        <v>83</v>
      </c>
      <c r="W288" t="s">
        <v>90</v>
      </c>
      <c r="X288" t="s">
        <v>90</v>
      </c>
      <c r="Y288" t="s">
        <v>74</v>
      </c>
      <c r="Z288" t="s">
        <v>74</v>
      </c>
      <c r="AA288" t="s">
        <v>85</v>
      </c>
      <c r="AB288" t="s">
        <v>77</v>
      </c>
      <c r="AC288" t="s">
        <v>87</v>
      </c>
      <c r="AD288" t="s">
        <v>93</v>
      </c>
      <c r="AE288">
        <v>0</v>
      </c>
      <c r="AF288" t="s">
        <v>81</v>
      </c>
      <c r="AG288" t="s">
        <v>80</v>
      </c>
      <c r="AH288" t="s">
        <v>80</v>
      </c>
      <c r="AI288" t="s">
        <v>81</v>
      </c>
      <c r="AJ288" t="s">
        <v>80</v>
      </c>
      <c r="AK288" t="s">
        <v>80</v>
      </c>
      <c r="AL288" t="s">
        <v>80</v>
      </c>
      <c r="AM288" t="s">
        <v>81</v>
      </c>
      <c r="AN288">
        <v>4</v>
      </c>
      <c r="AO288">
        <v>3</v>
      </c>
      <c r="AP288">
        <v>3</v>
      </c>
      <c r="AQ288">
        <v>1</v>
      </c>
      <c r="AR288">
        <v>2</v>
      </c>
      <c r="AS288">
        <v>2</v>
      </c>
      <c r="AT288">
        <v>5</v>
      </c>
      <c r="AU288" t="s">
        <v>115</v>
      </c>
      <c r="AV288">
        <v>18</v>
      </c>
      <c r="AW288">
        <v>19</v>
      </c>
    </row>
    <row r="289" spans="16:49" x14ac:dyDescent="0.25">
      <c r="P289">
        <v>288</v>
      </c>
      <c r="Q289" t="s">
        <v>68</v>
      </c>
      <c r="R289" t="s">
        <v>69</v>
      </c>
      <c r="S289">
        <v>17</v>
      </c>
      <c r="T289" t="s">
        <v>70</v>
      </c>
      <c r="U289" t="s">
        <v>71</v>
      </c>
      <c r="V289" t="s">
        <v>83</v>
      </c>
      <c r="W289" t="s">
        <v>84</v>
      </c>
      <c r="X289" t="s">
        <v>84</v>
      </c>
      <c r="Y289" t="s">
        <v>91</v>
      </c>
      <c r="Z289" t="s">
        <v>75</v>
      </c>
      <c r="AA289" t="s">
        <v>98</v>
      </c>
      <c r="AB289" t="s">
        <v>77</v>
      </c>
      <c r="AC289" t="s">
        <v>87</v>
      </c>
      <c r="AD289" t="s">
        <v>93</v>
      </c>
      <c r="AE289">
        <v>0</v>
      </c>
      <c r="AF289" t="s">
        <v>81</v>
      </c>
      <c r="AG289" t="s">
        <v>80</v>
      </c>
      <c r="AH289" t="s">
        <v>80</v>
      </c>
      <c r="AI289" t="s">
        <v>81</v>
      </c>
      <c r="AJ289" t="s">
        <v>80</v>
      </c>
      <c r="AK289" t="s">
        <v>80</v>
      </c>
      <c r="AL289" t="s">
        <v>80</v>
      </c>
      <c r="AM289" t="s">
        <v>81</v>
      </c>
      <c r="AN289">
        <v>4</v>
      </c>
      <c r="AO289">
        <v>3</v>
      </c>
      <c r="AP289">
        <v>3</v>
      </c>
      <c r="AQ289">
        <v>1</v>
      </c>
      <c r="AR289">
        <v>1</v>
      </c>
      <c r="AS289">
        <v>3</v>
      </c>
      <c r="AT289">
        <v>6</v>
      </c>
      <c r="AU289" t="s">
        <v>105</v>
      </c>
      <c r="AV289">
        <v>12</v>
      </c>
      <c r="AW289">
        <v>12</v>
      </c>
    </row>
    <row r="290" spans="16:49" x14ac:dyDescent="0.25">
      <c r="P290">
        <v>289</v>
      </c>
      <c r="Q290" t="s">
        <v>68</v>
      </c>
      <c r="R290" t="s">
        <v>97</v>
      </c>
      <c r="S290">
        <v>18</v>
      </c>
      <c r="T290" t="s">
        <v>70</v>
      </c>
      <c r="U290" t="s">
        <v>71</v>
      </c>
      <c r="V290" t="s">
        <v>83</v>
      </c>
      <c r="W290" t="s">
        <v>90</v>
      </c>
      <c r="X290" t="s">
        <v>84</v>
      </c>
      <c r="Y290" t="s">
        <v>91</v>
      </c>
      <c r="Z290" t="s">
        <v>91</v>
      </c>
      <c r="AA290" t="s">
        <v>98</v>
      </c>
      <c r="AB290" t="s">
        <v>77</v>
      </c>
      <c r="AC290" t="s">
        <v>87</v>
      </c>
      <c r="AD290" t="s">
        <v>93</v>
      </c>
      <c r="AE290">
        <v>0</v>
      </c>
      <c r="AF290" t="s">
        <v>81</v>
      </c>
      <c r="AG290" t="s">
        <v>81</v>
      </c>
      <c r="AH290" t="s">
        <v>80</v>
      </c>
      <c r="AI290" t="s">
        <v>80</v>
      </c>
      <c r="AJ290" t="s">
        <v>80</v>
      </c>
      <c r="AK290" t="s">
        <v>80</v>
      </c>
      <c r="AL290" t="s">
        <v>80</v>
      </c>
      <c r="AM290" t="s">
        <v>81</v>
      </c>
      <c r="AN290">
        <v>4</v>
      </c>
      <c r="AO290">
        <v>2</v>
      </c>
      <c r="AP290">
        <v>4</v>
      </c>
      <c r="AQ290">
        <v>1</v>
      </c>
      <c r="AR290">
        <v>3</v>
      </c>
      <c r="AS290">
        <v>2</v>
      </c>
      <c r="AT290">
        <v>6</v>
      </c>
      <c r="AU290" t="s">
        <v>94</v>
      </c>
      <c r="AV290">
        <v>14</v>
      </c>
      <c r="AW290">
        <v>14</v>
      </c>
    </row>
    <row r="291" spans="16:49" x14ac:dyDescent="0.25">
      <c r="P291">
        <v>290</v>
      </c>
      <c r="Q291" t="s">
        <v>68</v>
      </c>
      <c r="R291" t="s">
        <v>97</v>
      </c>
      <c r="S291">
        <v>18</v>
      </c>
      <c r="T291" t="s">
        <v>70</v>
      </c>
      <c r="U291" t="s">
        <v>88</v>
      </c>
      <c r="V291" t="s">
        <v>72</v>
      </c>
      <c r="W291" t="s">
        <v>73</v>
      </c>
      <c r="X291" t="s">
        <v>73</v>
      </c>
      <c r="Y291" t="s">
        <v>75</v>
      </c>
      <c r="Z291" t="s">
        <v>75</v>
      </c>
      <c r="AA291" t="s">
        <v>98</v>
      </c>
      <c r="AB291" t="s">
        <v>77</v>
      </c>
      <c r="AC291" t="s">
        <v>87</v>
      </c>
      <c r="AD291" t="s">
        <v>79</v>
      </c>
      <c r="AE291">
        <v>0</v>
      </c>
      <c r="AF291" t="s">
        <v>81</v>
      </c>
      <c r="AG291" t="s">
        <v>80</v>
      </c>
      <c r="AH291" t="s">
        <v>80</v>
      </c>
      <c r="AI291" t="s">
        <v>80</v>
      </c>
      <c r="AJ291" t="s">
        <v>80</v>
      </c>
      <c r="AK291" t="s">
        <v>80</v>
      </c>
      <c r="AL291" t="s">
        <v>80</v>
      </c>
      <c r="AM291" t="s">
        <v>81</v>
      </c>
      <c r="AN291">
        <v>5</v>
      </c>
      <c r="AO291">
        <v>4</v>
      </c>
      <c r="AP291">
        <v>3</v>
      </c>
      <c r="AQ291">
        <v>1</v>
      </c>
      <c r="AR291">
        <v>1</v>
      </c>
      <c r="AS291">
        <v>2</v>
      </c>
      <c r="AT291">
        <v>9</v>
      </c>
      <c r="AU291" t="s">
        <v>94</v>
      </c>
      <c r="AV291">
        <v>13</v>
      </c>
      <c r="AW291">
        <v>15</v>
      </c>
    </row>
    <row r="292" spans="16:49" x14ac:dyDescent="0.25">
      <c r="P292">
        <v>291</v>
      </c>
      <c r="Q292" t="s">
        <v>68</v>
      </c>
      <c r="R292" t="s">
        <v>97</v>
      </c>
      <c r="S292">
        <v>18</v>
      </c>
      <c r="T292" t="s">
        <v>70</v>
      </c>
      <c r="U292" t="s">
        <v>71</v>
      </c>
      <c r="V292" t="s">
        <v>83</v>
      </c>
      <c r="W292" t="s">
        <v>73</v>
      </c>
      <c r="X292" t="s">
        <v>90</v>
      </c>
      <c r="Y292" t="s">
        <v>75</v>
      </c>
      <c r="Z292" t="s">
        <v>85</v>
      </c>
      <c r="AA292" t="s">
        <v>92</v>
      </c>
      <c r="AB292" t="s">
        <v>77</v>
      </c>
      <c r="AC292" t="s">
        <v>87</v>
      </c>
      <c r="AD292" t="s">
        <v>79</v>
      </c>
      <c r="AE292">
        <v>0</v>
      </c>
      <c r="AF292" t="s">
        <v>81</v>
      </c>
      <c r="AG292" t="s">
        <v>80</v>
      </c>
      <c r="AH292" t="s">
        <v>80</v>
      </c>
      <c r="AI292" t="s">
        <v>80</v>
      </c>
      <c r="AJ292" t="s">
        <v>80</v>
      </c>
      <c r="AK292" t="s">
        <v>80</v>
      </c>
      <c r="AL292" t="s">
        <v>80</v>
      </c>
      <c r="AM292" t="s">
        <v>80</v>
      </c>
      <c r="AN292">
        <v>4</v>
      </c>
      <c r="AO292">
        <v>3</v>
      </c>
      <c r="AP292">
        <v>2</v>
      </c>
      <c r="AQ292">
        <v>1</v>
      </c>
      <c r="AR292">
        <v>4</v>
      </c>
      <c r="AS292">
        <v>5</v>
      </c>
      <c r="AT292">
        <v>11</v>
      </c>
      <c r="AU292" t="s">
        <v>99</v>
      </c>
      <c r="AV292">
        <v>11</v>
      </c>
      <c r="AW292">
        <v>11</v>
      </c>
    </row>
    <row r="293" spans="16:49" x14ac:dyDescent="0.25">
      <c r="P293">
        <v>292</v>
      </c>
      <c r="Q293" t="s">
        <v>68</v>
      </c>
      <c r="R293" t="s">
        <v>69</v>
      </c>
      <c r="S293">
        <v>17</v>
      </c>
      <c r="T293" t="s">
        <v>70</v>
      </c>
      <c r="U293" t="s">
        <v>71</v>
      </c>
      <c r="V293" t="s">
        <v>83</v>
      </c>
      <c r="W293" t="s">
        <v>73</v>
      </c>
      <c r="X293" t="s">
        <v>95</v>
      </c>
      <c r="Y293" t="s">
        <v>63</v>
      </c>
      <c r="Z293" t="s">
        <v>91</v>
      </c>
      <c r="AA293" t="s">
        <v>98</v>
      </c>
      <c r="AB293" t="s">
        <v>77</v>
      </c>
      <c r="AC293" t="s">
        <v>87</v>
      </c>
      <c r="AD293" t="s">
        <v>93</v>
      </c>
      <c r="AE293">
        <v>0</v>
      </c>
      <c r="AF293" t="s">
        <v>81</v>
      </c>
      <c r="AG293" t="s">
        <v>80</v>
      </c>
      <c r="AH293" t="s">
        <v>80</v>
      </c>
      <c r="AI293" t="s">
        <v>81</v>
      </c>
      <c r="AJ293" t="s">
        <v>80</v>
      </c>
      <c r="AK293" t="s">
        <v>80</v>
      </c>
      <c r="AL293" t="s">
        <v>80</v>
      </c>
      <c r="AM293" t="s">
        <v>81</v>
      </c>
      <c r="AN293">
        <v>4</v>
      </c>
      <c r="AO293">
        <v>2</v>
      </c>
      <c r="AP293">
        <v>2</v>
      </c>
      <c r="AQ293">
        <v>1</v>
      </c>
      <c r="AR293">
        <v>2</v>
      </c>
      <c r="AS293">
        <v>3</v>
      </c>
      <c r="AT293">
        <v>0</v>
      </c>
      <c r="AU293" t="s">
        <v>94</v>
      </c>
      <c r="AV293">
        <v>15</v>
      </c>
      <c r="AW293">
        <v>15</v>
      </c>
    </row>
    <row r="294" spans="16:49" x14ac:dyDescent="0.25">
      <c r="P294">
        <v>293</v>
      </c>
      <c r="Q294" t="s">
        <v>68</v>
      </c>
      <c r="R294" t="s">
        <v>69</v>
      </c>
      <c r="S294">
        <v>18</v>
      </c>
      <c r="T294" t="s">
        <v>70</v>
      </c>
      <c r="U294" t="s">
        <v>88</v>
      </c>
      <c r="V294" t="s">
        <v>83</v>
      </c>
      <c r="W294" t="s">
        <v>90</v>
      </c>
      <c r="X294" t="s">
        <v>84</v>
      </c>
      <c r="Y294" t="s">
        <v>91</v>
      </c>
      <c r="Z294" t="s">
        <v>74</v>
      </c>
      <c r="AA294" t="s">
        <v>98</v>
      </c>
      <c r="AB294" t="s">
        <v>77</v>
      </c>
      <c r="AC294" t="s">
        <v>87</v>
      </c>
      <c r="AD294" t="s">
        <v>79</v>
      </c>
      <c r="AE294">
        <v>1</v>
      </c>
      <c r="AF294" t="s">
        <v>81</v>
      </c>
      <c r="AG294" t="s">
        <v>81</v>
      </c>
      <c r="AH294" t="s">
        <v>81</v>
      </c>
      <c r="AI294" t="s">
        <v>81</v>
      </c>
      <c r="AJ294" t="s">
        <v>80</v>
      </c>
      <c r="AK294" t="s">
        <v>80</v>
      </c>
      <c r="AL294" t="s">
        <v>80</v>
      </c>
      <c r="AM294" t="s">
        <v>80</v>
      </c>
      <c r="AN294">
        <v>5</v>
      </c>
      <c r="AO294">
        <v>4</v>
      </c>
      <c r="AP294">
        <v>3</v>
      </c>
      <c r="AQ294">
        <v>1</v>
      </c>
      <c r="AR294">
        <v>1</v>
      </c>
      <c r="AS294">
        <v>5</v>
      </c>
      <c r="AT294">
        <v>12</v>
      </c>
      <c r="AU294" t="s">
        <v>99</v>
      </c>
      <c r="AV294">
        <v>12</v>
      </c>
      <c r="AW294">
        <v>13</v>
      </c>
    </row>
    <row r="295" spans="16:49" x14ac:dyDescent="0.25">
      <c r="P295">
        <v>294</v>
      </c>
      <c r="Q295" t="s">
        <v>68</v>
      </c>
      <c r="R295" t="s">
        <v>69</v>
      </c>
      <c r="S295">
        <v>17</v>
      </c>
      <c r="T295" t="s">
        <v>107</v>
      </c>
      <c r="U295" t="s">
        <v>88</v>
      </c>
      <c r="V295" t="s">
        <v>83</v>
      </c>
      <c r="W295" t="s">
        <v>95</v>
      </c>
      <c r="X295" t="s">
        <v>84</v>
      </c>
      <c r="Y295" t="s">
        <v>91</v>
      </c>
      <c r="Z295" t="s">
        <v>85</v>
      </c>
      <c r="AA295" t="s">
        <v>98</v>
      </c>
      <c r="AB295" t="s">
        <v>77</v>
      </c>
      <c r="AC295" t="s">
        <v>78</v>
      </c>
      <c r="AD295" t="s">
        <v>112</v>
      </c>
      <c r="AE295">
        <v>0</v>
      </c>
      <c r="AF295" t="s">
        <v>81</v>
      </c>
      <c r="AG295" t="s">
        <v>80</v>
      </c>
      <c r="AH295" t="s">
        <v>80</v>
      </c>
      <c r="AI295" t="s">
        <v>81</v>
      </c>
      <c r="AJ295" t="s">
        <v>80</v>
      </c>
      <c r="AK295" t="s">
        <v>80</v>
      </c>
      <c r="AL295" t="s">
        <v>81</v>
      </c>
      <c r="AM295" t="s">
        <v>81</v>
      </c>
      <c r="AN295">
        <v>3</v>
      </c>
      <c r="AO295">
        <v>1</v>
      </c>
      <c r="AP295">
        <v>2</v>
      </c>
      <c r="AQ295">
        <v>1</v>
      </c>
      <c r="AR295">
        <v>1</v>
      </c>
      <c r="AS295">
        <v>3</v>
      </c>
      <c r="AT295">
        <v>6</v>
      </c>
      <c r="AU295" t="s">
        <v>115</v>
      </c>
      <c r="AV295">
        <v>18</v>
      </c>
      <c r="AW295">
        <v>18</v>
      </c>
    </row>
    <row r="296" spans="16:49" x14ac:dyDescent="0.25">
      <c r="P296">
        <v>295</v>
      </c>
      <c r="Q296" t="s">
        <v>68</v>
      </c>
      <c r="R296" t="s">
        <v>97</v>
      </c>
      <c r="S296">
        <v>18</v>
      </c>
      <c r="T296" t="s">
        <v>107</v>
      </c>
      <c r="U296" t="s">
        <v>88</v>
      </c>
      <c r="V296" t="s">
        <v>83</v>
      </c>
      <c r="W296" t="s">
        <v>95</v>
      </c>
      <c r="X296" t="s">
        <v>90</v>
      </c>
      <c r="Y296" t="s">
        <v>91</v>
      </c>
      <c r="Z296" t="s">
        <v>85</v>
      </c>
      <c r="AA296" t="s">
        <v>98</v>
      </c>
      <c r="AB296" t="s">
        <v>77</v>
      </c>
      <c r="AC296" t="s">
        <v>78</v>
      </c>
      <c r="AD296" t="s">
        <v>93</v>
      </c>
      <c r="AE296">
        <v>0</v>
      </c>
      <c r="AF296" t="s">
        <v>81</v>
      </c>
      <c r="AG296" t="s">
        <v>80</v>
      </c>
      <c r="AH296" t="s">
        <v>80</v>
      </c>
      <c r="AI296" t="s">
        <v>80</v>
      </c>
      <c r="AJ296" t="s">
        <v>80</v>
      </c>
      <c r="AK296" t="s">
        <v>80</v>
      </c>
      <c r="AL296" t="s">
        <v>80</v>
      </c>
      <c r="AM296" t="s">
        <v>81</v>
      </c>
      <c r="AN296">
        <v>5</v>
      </c>
      <c r="AO296">
        <v>4</v>
      </c>
      <c r="AP296">
        <v>2</v>
      </c>
      <c r="AQ296">
        <v>1</v>
      </c>
      <c r="AR296">
        <v>1</v>
      </c>
      <c r="AS296">
        <v>4</v>
      </c>
      <c r="AT296">
        <v>8</v>
      </c>
      <c r="AU296" t="s">
        <v>101</v>
      </c>
      <c r="AV296">
        <v>13</v>
      </c>
      <c r="AW296">
        <v>14</v>
      </c>
    </row>
    <row r="297" spans="16:49" x14ac:dyDescent="0.25">
      <c r="P297">
        <v>296</v>
      </c>
      <c r="Q297" t="s">
        <v>68</v>
      </c>
      <c r="R297" t="s">
        <v>97</v>
      </c>
      <c r="S297">
        <v>17</v>
      </c>
      <c r="T297" t="s">
        <v>70</v>
      </c>
      <c r="U297" t="s">
        <v>71</v>
      </c>
      <c r="V297" t="s">
        <v>83</v>
      </c>
      <c r="W297" t="s">
        <v>95</v>
      </c>
      <c r="X297" t="s">
        <v>95</v>
      </c>
      <c r="Y297" t="s">
        <v>63</v>
      </c>
      <c r="Z297" t="s">
        <v>85</v>
      </c>
      <c r="AA297" t="s">
        <v>92</v>
      </c>
      <c r="AB297" t="s">
        <v>77</v>
      </c>
      <c r="AC297" t="s">
        <v>87</v>
      </c>
      <c r="AD297" t="s">
        <v>104</v>
      </c>
      <c r="AE297">
        <v>0</v>
      </c>
      <c r="AF297" t="s">
        <v>81</v>
      </c>
      <c r="AG297" t="s">
        <v>80</v>
      </c>
      <c r="AH297" t="s">
        <v>80</v>
      </c>
      <c r="AI297" t="s">
        <v>81</v>
      </c>
      <c r="AJ297" t="s">
        <v>80</v>
      </c>
      <c r="AK297" t="s">
        <v>80</v>
      </c>
      <c r="AL297" t="s">
        <v>80</v>
      </c>
      <c r="AM297" t="s">
        <v>81</v>
      </c>
      <c r="AN297">
        <v>4</v>
      </c>
      <c r="AO297">
        <v>4</v>
      </c>
      <c r="AP297">
        <v>3</v>
      </c>
      <c r="AQ297">
        <v>1</v>
      </c>
      <c r="AR297">
        <v>3</v>
      </c>
      <c r="AS297">
        <v>5</v>
      </c>
      <c r="AT297">
        <v>4</v>
      </c>
      <c r="AU297" t="s">
        <v>101</v>
      </c>
      <c r="AV297">
        <v>12</v>
      </c>
      <c r="AW297">
        <v>11</v>
      </c>
    </row>
    <row r="298" spans="16:49" x14ac:dyDescent="0.25">
      <c r="P298">
        <v>297</v>
      </c>
      <c r="Q298" t="s">
        <v>68</v>
      </c>
      <c r="R298" t="s">
        <v>69</v>
      </c>
      <c r="S298">
        <v>19</v>
      </c>
      <c r="T298" t="s">
        <v>70</v>
      </c>
      <c r="U298" t="s">
        <v>71</v>
      </c>
      <c r="V298" t="s">
        <v>83</v>
      </c>
      <c r="W298" t="s">
        <v>73</v>
      </c>
      <c r="X298" t="s">
        <v>73</v>
      </c>
      <c r="Y298" t="s">
        <v>63</v>
      </c>
      <c r="Z298" t="s">
        <v>85</v>
      </c>
      <c r="AA298" t="s">
        <v>98</v>
      </c>
      <c r="AB298" t="s">
        <v>85</v>
      </c>
      <c r="AC298" t="s">
        <v>78</v>
      </c>
      <c r="AD298" t="s">
        <v>79</v>
      </c>
      <c r="AE298">
        <v>0</v>
      </c>
      <c r="AF298" t="s">
        <v>81</v>
      </c>
      <c r="AG298" t="s">
        <v>80</v>
      </c>
      <c r="AH298" t="s">
        <v>80</v>
      </c>
      <c r="AI298" t="s">
        <v>80</v>
      </c>
      <c r="AJ298" t="s">
        <v>80</v>
      </c>
      <c r="AK298" t="s">
        <v>80</v>
      </c>
      <c r="AL298" t="s">
        <v>80</v>
      </c>
      <c r="AM298" t="s">
        <v>81</v>
      </c>
      <c r="AN298">
        <v>2</v>
      </c>
      <c r="AO298">
        <v>3</v>
      </c>
      <c r="AP298">
        <v>4</v>
      </c>
      <c r="AQ298">
        <v>2</v>
      </c>
      <c r="AR298">
        <v>3</v>
      </c>
      <c r="AS298">
        <v>2</v>
      </c>
      <c r="AT298">
        <v>0</v>
      </c>
      <c r="AU298" t="s">
        <v>102</v>
      </c>
      <c r="AV298">
        <v>9</v>
      </c>
      <c r="AW298">
        <v>0</v>
      </c>
    </row>
    <row r="299" spans="16:49" x14ac:dyDescent="0.25">
      <c r="P299">
        <v>298</v>
      </c>
      <c r="Q299" t="s">
        <v>68</v>
      </c>
      <c r="R299" t="s">
        <v>69</v>
      </c>
      <c r="S299">
        <v>18</v>
      </c>
      <c r="T299" t="s">
        <v>70</v>
      </c>
      <c r="U299" t="s">
        <v>88</v>
      </c>
      <c r="V299" t="s">
        <v>83</v>
      </c>
      <c r="W299" t="s">
        <v>73</v>
      </c>
      <c r="X299" t="s">
        <v>95</v>
      </c>
      <c r="Y299" t="s">
        <v>85</v>
      </c>
      <c r="Z299" t="s">
        <v>85</v>
      </c>
      <c r="AA299" t="s">
        <v>92</v>
      </c>
      <c r="AB299" t="s">
        <v>85</v>
      </c>
      <c r="AC299" t="s">
        <v>78</v>
      </c>
      <c r="AD299" t="s">
        <v>79</v>
      </c>
      <c r="AE299">
        <v>0</v>
      </c>
      <c r="AF299" t="s">
        <v>81</v>
      </c>
      <c r="AG299" t="s">
        <v>80</v>
      </c>
      <c r="AH299" t="s">
        <v>80</v>
      </c>
      <c r="AI299" t="s">
        <v>81</v>
      </c>
      <c r="AJ299" t="s">
        <v>80</v>
      </c>
      <c r="AK299" t="s">
        <v>80</v>
      </c>
      <c r="AL299" t="s">
        <v>80</v>
      </c>
      <c r="AM299" t="s">
        <v>80</v>
      </c>
      <c r="AN299">
        <v>4</v>
      </c>
      <c r="AO299">
        <v>4</v>
      </c>
      <c r="AP299">
        <v>5</v>
      </c>
      <c r="AQ299">
        <v>1</v>
      </c>
      <c r="AR299">
        <v>2</v>
      </c>
      <c r="AS299">
        <v>2</v>
      </c>
      <c r="AT299">
        <v>10</v>
      </c>
      <c r="AU299" t="s">
        <v>102</v>
      </c>
      <c r="AV299">
        <v>8</v>
      </c>
      <c r="AW299">
        <v>8</v>
      </c>
    </row>
    <row r="300" spans="16:49" x14ac:dyDescent="0.25">
      <c r="P300">
        <v>299</v>
      </c>
      <c r="Q300" t="s">
        <v>68</v>
      </c>
      <c r="R300" t="s">
        <v>69</v>
      </c>
      <c r="S300">
        <v>18</v>
      </c>
      <c r="T300" t="s">
        <v>70</v>
      </c>
      <c r="U300" t="s">
        <v>71</v>
      </c>
      <c r="V300" t="s">
        <v>83</v>
      </c>
      <c r="W300" t="s">
        <v>73</v>
      </c>
      <c r="X300" t="s">
        <v>95</v>
      </c>
      <c r="Y300" t="s">
        <v>85</v>
      </c>
      <c r="Z300" t="s">
        <v>85</v>
      </c>
      <c r="AA300" t="s">
        <v>98</v>
      </c>
      <c r="AB300" t="s">
        <v>86</v>
      </c>
      <c r="AC300" t="s">
        <v>87</v>
      </c>
      <c r="AD300" t="s">
        <v>112</v>
      </c>
      <c r="AE300">
        <v>0</v>
      </c>
      <c r="AF300" t="s">
        <v>81</v>
      </c>
      <c r="AG300" t="s">
        <v>80</v>
      </c>
      <c r="AH300" t="s">
        <v>80</v>
      </c>
      <c r="AI300" t="s">
        <v>81</v>
      </c>
      <c r="AJ300" t="s">
        <v>80</v>
      </c>
      <c r="AK300" t="s">
        <v>80</v>
      </c>
      <c r="AL300" t="s">
        <v>80</v>
      </c>
      <c r="AM300" t="s">
        <v>81</v>
      </c>
      <c r="AN300">
        <v>4</v>
      </c>
      <c r="AO300">
        <v>3</v>
      </c>
      <c r="AP300">
        <v>3</v>
      </c>
      <c r="AQ300">
        <v>1</v>
      </c>
      <c r="AR300">
        <v>1</v>
      </c>
      <c r="AS300">
        <v>3</v>
      </c>
      <c r="AT300">
        <v>0</v>
      </c>
      <c r="AU300" t="s">
        <v>101</v>
      </c>
      <c r="AV300">
        <v>13</v>
      </c>
      <c r="AW300">
        <v>14</v>
      </c>
    </row>
    <row r="301" spans="16:49" x14ac:dyDescent="0.25">
      <c r="P301">
        <v>300</v>
      </c>
      <c r="Q301" t="s">
        <v>68</v>
      </c>
      <c r="R301" t="s">
        <v>97</v>
      </c>
      <c r="S301">
        <v>18</v>
      </c>
      <c r="T301" t="s">
        <v>70</v>
      </c>
      <c r="U301" t="s">
        <v>88</v>
      </c>
      <c r="V301" t="s">
        <v>83</v>
      </c>
      <c r="W301" t="s">
        <v>73</v>
      </c>
      <c r="X301" t="s">
        <v>73</v>
      </c>
      <c r="Y301" t="s">
        <v>75</v>
      </c>
      <c r="Z301" t="s">
        <v>75</v>
      </c>
      <c r="AA301" t="s">
        <v>92</v>
      </c>
      <c r="AB301" t="s">
        <v>77</v>
      </c>
      <c r="AC301" t="s">
        <v>87</v>
      </c>
      <c r="AD301" t="s">
        <v>104</v>
      </c>
      <c r="AE301">
        <v>0</v>
      </c>
      <c r="AF301" t="s">
        <v>81</v>
      </c>
      <c r="AG301" t="s">
        <v>80</v>
      </c>
      <c r="AH301" t="s">
        <v>80</v>
      </c>
      <c r="AI301" t="s">
        <v>81</v>
      </c>
      <c r="AJ301" t="s">
        <v>80</v>
      </c>
      <c r="AK301" t="s">
        <v>80</v>
      </c>
      <c r="AL301" t="s">
        <v>80</v>
      </c>
      <c r="AM301" t="s">
        <v>80</v>
      </c>
      <c r="AN301">
        <v>1</v>
      </c>
      <c r="AO301">
        <v>4</v>
      </c>
      <c r="AP301">
        <v>2</v>
      </c>
      <c r="AQ301">
        <v>2</v>
      </c>
      <c r="AR301">
        <v>2</v>
      </c>
      <c r="AS301">
        <v>1</v>
      </c>
      <c r="AT301">
        <v>5</v>
      </c>
      <c r="AU301" t="s">
        <v>100</v>
      </c>
      <c r="AV301">
        <v>15</v>
      </c>
      <c r="AW301">
        <v>16</v>
      </c>
    </row>
    <row r="302" spans="16:49" x14ac:dyDescent="0.25">
      <c r="P302">
        <v>301</v>
      </c>
      <c r="Q302" t="s">
        <v>68</v>
      </c>
      <c r="R302" t="s">
        <v>69</v>
      </c>
      <c r="S302">
        <v>18</v>
      </c>
      <c r="T302" t="s">
        <v>70</v>
      </c>
      <c r="U302" t="s">
        <v>88</v>
      </c>
      <c r="V302" t="s">
        <v>72</v>
      </c>
      <c r="W302" t="s">
        <v>73</v>
      </c>
      <c r="X302" t="s">
        <v>73</v>
      </c>
      <c r="Y302" t="s">
        <v>63</v>
      </c>
      <c r="Z302" t="s">
        <v>85</v>
      </c>
      <c r="AA302" t="s">
        <v>92</v>
      </c>
      <c r="AB302" t="s">
        <v>77</v>
      </c>
      <c r="AC302" t="s">
        <v>87</v>
      </c>
      <c r="AD302" t="s">
        <v>79</v>
      </c>
      <c r="AE302">
        <v>0</v>
      </c>
      <c r="AF302" t="s">
        <v>81</v>
      </c>
      <c r="AG302" t="s">
        <v>80</v>
      </c>
      <c r="AH302" t="s">
        <v>81</v>
      </c>
      <c r="AI302" t="s">
        <v>81</v>
      </c>
      <c r="AJ302" t="s">
        <v>80</v>
      </c>
      <c r="AK302" t="s">
        <v>80</v>
      </c>
      <c r="AL302" t="s">
        <v>80</v>
      </c>
      <c r="AM302" t="s">
        <v>80</v>
      </c>
      <c r="AN302">
        <v>4</v>
      </c>
      <c r="AO302">
        <v>2</v>
      </c>
      <c r="AP302">
        <v>4</v>
      </c>
      <c r="AQ302">
        <v>1</v>
      </c>
      <c r="AR302">
        <v>1</v>
      </c>
      <c r="AS302">
        <v>4</v>
      </c>
      <c r="AT302">
        <v>14</v>
      </c>
      <c r="AU302" t="s">
        <v>99</v>
      </c>
      <c r="AV302">
        <v>10</v>
      </c>
      <c r="AW302">
        <v>11</v>
      </c>
    </row>
    <row r="303" spans="16:49" x14ac:dyDescent="0.25">
      <c r="P303">
        <v>302</v>
      </c>
      <c r="Q303" t="s">
        <v>68</v>
      </c>
      <c r="R303" t="s">
        <v>97</v>
      </c>
      <c r="S303">
        <v>17</v>
      </c>
      <c r="T303" t="s">
        <v>70</v>
      </c>
      <c r="U303" t="s">
        <v>88</v>
      </c>
      <c r="V303" t="s">
        <v>83</v>
      </c>
      <c r="W303" t="s">
        <v>73</v>
      </c>
      <c r="X303" t="s">
        <v>73</v>
      </c>
      <c r="Y303" t="s">
        <v>85</v>
      </c>
      <c r="Z303" t="s">
        <v>75</v>
      </c>
      <c r="AA303" t="s">
        <v>92</v>
      </c>
      <c r="AB303" t="s">
        <v>86</v>
      </c>
      <c r="AC303" t="s">
        <v>78</v>
      </c>
      <c r="AD303" t="s">
        <v>104</v>
      </c>
      <c r="AE303">
        <v>0</v>
      </c>
      <c r="AF303" t="s">
        <v>81</v>
      </c>
      <c r="AG303" t="s">
        <v>81</v>
      </c>
      <c r="AH303" t="s">
        <v>80</v>
      </c>
      <c r="AI303" t="s">
        <v>81</v>
      </c>
      <c r="AJ303" t="s">
        <v>80</v>
      </c>
      <c r="AK303" t="s">
        <v>80</v>
      </c>
      <c r="AL303" t="s">
        <v>80</v>
      </c>
      <c r="AM303" t="s">
        <v>81</v>
      </c>
      <c r="AN303">
        <v>4</v>
      </c>
      <c r="AO303">
        <v>1</v>
      </c>
      <c r="AP303">
        <v>1</v>
      </c>
      <c r="AQ303">
        <v>2</v>
      </c>
      <c r="AR303">
        <v>2</v>
      </c>
      <c r="AS303">
        <v>5</v>
      </c>
      <c r="AT303">
        <v>0</v>
      </c>
      <c r="AU303" t="s">
        <v>108</v>
      </c>
      <c r="AV303">
        <v>11</v>
      </c>
      <c r="AW303">
        <v>10</v>
      </c>
    </row>
    <row r="304" spans="16:49" x14ac:dyDescent="0.25">
      <c r="P304">
        <v>303</v>
      </c>
      <c r="Q304" t="s">
        <v>68</v>
      </c>
      <c r="R304" t="s">
        <v>69</v>
      </c>
      <c r="S304">
        <v>17</v>
      </c>
      <c r="T304" t="s">
        <v>70</v>
      </c>
      <c r="U304" t="s">
        <v>71</v>
      </c>
      <c r="V304" t="s">
        <v>83</v>
      </c>
      <c r="W304" t="s">
        <v>73</v>
      </c>
      <c r="X304" t="s">
        <v>90</v>
      </c>
      <c r="Y304" t="s">
        <v>85</v>
      </c>
      <c r="Z304" t="s">
        <v>85</v>
      </c>
      <c r="AA304" t="s">
        <v>98</v>
      </c>
      <c r="AB304" t="s">
        <v>77</v>
      </c>
      <c r="AC304" t="s">
        <v>78</v>
      </c>
      <c r="AD304" t="s">
        <v>93</v>
      </c>
      <c r="AE304">
        <v>0</v>
      </c>
      <c r="AF304" t="s">
        <v>81</v>
      </c>
      <c r="AG304" t="s">
        <v>80</v>
      </c>
      <c r="AH304" t="s">
        <v>80</v>
      </c>
      <c r="AI304" t="s">
        <v>81</v>
      </c>
      <c r="AJ304" t="s">
        <v>80</v>
      </c>
      <c r="AK304" t="s">
        <v>80</v>
      </c>
      <c r="AL304" t="s">
        <v>80</v>
      </c>
      <c r="AM304" t="s">
        <v>81</v>
      </c>
      <c r="AN304">
        <v>4</v>
      </c>
      <c r="AO304">
        <v>3</v>
      </c>
      <c r="AP304">
        <v>3</v>
      </c>
      <c r="AQ304">
        <v>1</v>
      </c>
      <c r="AR304">
        <v>1</v>
      </c>
      <c r="AS304">
        <v>3</v>
      </c>
      <c r="AT304">
        <v>0</v>
      </c>
      <c r="AU304" t="s">
        <v>94</v>
      </c>
      <c r="AV304">
        <v>12</v>
      </c>
      <c r="AW304">
        <v>14</v>
      </c>
    </row>
    <row r="305" spans="16:49" x14ac:dyDescent="0.25">
      <c r="P305">
        <v>304</v>
      </c>
      <c r="Q305" t="s">
        <v>68</v>
      </c>
      <c r="R305" t="s">
        <v>69</v>
      </c>
      <c r="S305">
        <v>17</v>
      </c>
      <c r="T305" t="s">
        <v>70</v>
      </c>
      <c r="U305" t="s">
        <v>71</v>
      </c>
      <c r="V305" t="s">
        <v>83</v>
      </c>
      <c r="W305" t="s">
        <v>95</v>
      </c>
      <c r="X305" t="s">
        <v>90</v>
      </c>
      <c r="Y305" t="s">
        <v>63</v>
      </c>
      <c r="Z305" t="s">
        <v>63</v>
      </c>
      <c r="AA305" t="s">
        <v>98</v>
      </c>
      <c r="AB305" t="s">
        <v>86</v>
      </c>
      <c r="AC305" t="s">
        <v>87</v>
      </c>
      <c r="AD305" t="s">
        <v>112</v>
      </c>
      <c r="AE305">
        <v>0</v>
      </c>
      <c r="AF305" t="s">
        <v>81</v>
      </c>
      <c r="AG305" t="s">
        <v>80</v>
      </c>
      <c r="AH305" t="s">
        <v>80</v>
      </c>
      <c r="AI305" t="s">
        <v>80</v>
      </c>
      <c r="AJ305" t="s">
        <v>81</v>
      </c>
      <c r="AK305" t="s">
        <v>80</v>
      </c>
      <c r="AL305" t="s">
        <v>80</v>
      </c>
      <c r="AM305" t="s">
        <v>81</v>
      </c>
      <c r="AN305">
        <v>5</v>
      </c>
      <c r="AO305">
        <v>2</v>
      </c>
      <c r="AP305">
        <v>2</v>
      </c>
      <c r="AQ305">
        <v>1</v>
      </c>
      <c r="AR305">
        <v>2</v>
      </c>
      <c r="AS305">
        <v>5</v>
      </c>
      <c r="AT305">
        <v>0</v>
      </c>
      <c r="AU305" t="s">
        <v>110</v>
      </c>
      <c r="AV305">
        <v>17</v>
      </c>
      <c r="AW305">
        <v>18</v>
      </c>
    </row>
    <row r="306" spans="16:49" x14ac:dyDescent="0.25">
      <c r="P306">
        <v>305</v>
      </c>
      <c r="Q306" t="s">
        <v>68</v>
      </c>
      <c r="R306" t="s">
        <v>97</v>
      </c>
      <c r="S306">
        <v>19</v>
      </c>
      <c r="T306" t="s">
        <v>70</v>
      </c>
      <c r="U306" t="s">
        <v>71</v>
      </c>
      <c r="V306" t="s">
        <v>83</v>
      </c>
      <c r="W306" t="s">
        <v>95</v>
      </c>
      <c r="X306" t="s">
        <v>95</v>
      </c>
      <c r="Y306" t="s">
        <v>85</v>
      </c>
      <c r="Z306" t="s">
        <v>85</v>
      </c>
      <c r="AA306" t="s">
        <v>92</v>
      </c>
      <c r="AB306" t="s">
        <v>85</v>
      </c>
      <c r="AC306" t="s">
        <v>87</v>
      </c>
      <c r="AD306" t="s">
        <v>79</v>
      </c>
      <c r="AE306">
        <v>1</v>
      </c>
      <c r="AF306" t="s">
        <v>81</v>
      </c>
      <c r="AG306" t="s">
        <v>80</v>
      </c>
      <c r="AH306" t="s">
        <v>81</v>
      </c>
      <c r="AI306" t="s">
        <v>80</v>
      </c>
      <c r="AJ306" t="s">
        <v>80</v>
      </c>
      <c r="AK306" t="s">
        <v>80</v>
      </c>
      <c r="AL306" t="s">
        <v>80</v>
      </c>
      <c r="AM306" t="s">
        <v>80</v>
      </c>
      <c r="AN306">
        <v>4</v>
      </c>
      <c r="AO306">
        <v>4</v>
      </c>
      <c r="AP306">
        <v>4</v>
      </c>
      <c r="AQ306">
        <v>1</v>
      </c>
      <c r="AR306">
        <v>1</v>
      </c>
      <c r="AS306">
        <v>3</v>
      </c>
      <c r="AT306">
        <v>20</v>
      </c>
      <c r="AU306" t="s">
        <v>94</v>
      </c>
      <c r="AV306">
        <v>14</v>
      </c>
      <c r="AW306">
        <v>13</v>
      </c>
    </row>
    <row r="307" spans="16:49" x14ac:dyDescent="0.25">
      <c r="P307">
        <v>306</v>
      </c>
      <c r="Q307" t="s">
        <v>68</v>
      </c>
      <c r="R307" t="s">
        <v>69</v>
      </c>
      <c r="S307">
        <v>18</v>
      </c>
      <c r="T307" t="s">
        <v>70</v>
      </c>
      <c r="U307" t="s">
        <v>71</v>
      </c>
      <c r="V307" t="s">
        <v>83</v>
      </c>
      <c r="W307" t="s">
        <v>90</v>
      </c>
      <c r="X307" t="s">
        <v>73</v>
      </c>
      <c r="Y307" t="s">
        <v>91</v>
      </c>
      <c r="Z307" t="s">
        <v>74</v>
      </c>
      <c r="AA307" t="s">
        <v>98</v>
      </c>
      <c r="AB307" t="s">
        <v>85</v>
      </c>
      <c r="AC307" t="s">
        <v>87</v>
      </c>
      <c r="AD307" t="s">
        <v>79</v>
      </c>
      <c r="AE307">
        <v>1</v>
      </c>
      <c r="AF307" t="s">
        <v>81</v>
      </c>
      <c r="AG307" t="s">
        <v>80</v>
      </c>
      <c r="AH307" t="s">
        <v>80</v>
      </c>
      <c r="AI307" t="s">
        <v>80</v>
      </c>
      <c r="AJ307" t="s">
        <v>80</v>
      </c>
      <c r="AK307" t="s">
        <v>80</v>
      </c>
      <c r="AL307" t="s">
        <v>80</v>
      </c>
      <c r="AM307" t="s">
        <v>81</v>
      </c>
      <c r="AN307">
        <v>4</v>
      </c>
      <c r="AO307">
        <v>4</v>
      </c>
      <c r="AP307">
        <v>3</v>
      </c>
      <c r="AQ307">
        <v>1</v>
      </c>
      <c r="AR307">
        <v>1</v>
      </c>
      <c r="AS307">
        <v>3</v>
      </c>
      <c r="AT307">
        <v>8</v>
      </c>
      <c r="AU307" t="s">
        <v>101</v>
      </c>
      <c r="AV307">
        <v>12</v>
      </c>
      <c r="AW307">
        <v>12</v>
      </c>
    </row>
    <row r="308" spans="16:49" x14ac:dyDescent="0.25">
      <c r="P308">
        <v>307</v>
      </c>
      <c r="Q308" t="s">
        <v>68</v>
      </c>
      <c r="R308" t="s">
        <v>97</v>
      </c>
      <c r="S308">
        <v>20</v>
      </c>
      <c r="T308" t="s">
        <v>70</v>
      </c>
      <c r="U308" t="s">
        <v>71</v>
      </c>
      <c r="V308" t="s">
        <v>72</v>
      </c>
      <c r="W308" t="s">
        <v>95</v>
      </c>
      <c r="X308" t="s">
        <v>90</v>
      </c>
      <c r="Y308" t="s">
        <v>91</v>
      </c>
      <c r="Z308" t="s">
        <v>85</v>
      </c>
      <c r="AA308" t="s">
        <v>76</v>
      </c>
      <c r="AB308" t="s">
        <v>85</v>
      </c>
      <c r="AC308" t="s">
        <v>87</v>
      </c>
      <c r="AD308" t="s">
        <v>104</v>
      </c>
      <c r="AE308">
        <v>0</v>
      </c>
      <c r="AF308" t="s">
        <v>81</v>
      </c>
      <c r="AG308" t="s">
        <v>81</v>
      </c>
      <c r="AH308" t="s">
        <v>81</v>
      </c>
      <c r="AI308" t="s">
        <v>80</v>
      </c>
      <c r="AJ308" t="s">
        <v>80</v>
      </c>
      <c r="AK308" t="s">
        <v>80</v>
      </c>
      <c r="AL308" t="s">
        <v>81</v>
      </c>
      <c r="AM308" t="s">
        <v>81</v>
      </c>
      <c r="AN308">
        <v>5</v>
      </c>
      <c r="AO308">
        <v>5</v>
      </c>
      <c r="AP308">
        <v>3</v>
      </c>
      <c r="AQ308">
        <v>1</v>
      </c>
      <c r="AR308">
        <v>1</v>
      </c>
      <c r="AS308">
        <v>5</v>
      </c>
      <c r="AT308">
        <v>0</v>
      </c>
      <c r="AU308" t="s">
        <v>110</v>
      </c>
      <c r="AV308">
        <v>18</v>
      </c>
      <c r="AW308">
        <v>18</v>
      </c>
    </row>
    <row r="309" spans="16:49" x14ac:dyDescent="0.25">
      <c r="P309">
        <v>308</v>
      </c>
      <c r="Q309" t="s">
        <v>68</v>
      </c>
      <c r="R309" t="s">
        <v>97</v>
      </c>
      <c r="S309">
        <v>19</v>
      </c>
      <c r="T309" t="s">
        <v>70</v>
      </c>
      <c r="U309" t="s">
        <v>71</v>
      </c>
      <c r="V309" t="s">
        <v>83</v>
      </c>
      <c r="W309" t="s">
        <v>73</v>
      </c>
      <c r="X309" t="s">
        <v>73</v>
      </c>
      <c r="Y309" t="s">
        <v>75</v>
      </c>
      <c r="Z309" t="s">
        <v>91</v>
      </c>
      <c r="AA309" t="s">
        <v>98</v>
      </c>
      <c r="AB309" t="s">
        <v>85</v>
      </c>
      <c r="AC309" t="s">
        <v>78</v>
      </c>
      <c r="AD309" t="s">
        <v>104</v>
      </c>
      <c r="AE309">
        <v>1</v>
      </c>
      <c r="AF309" t="s">
        <v>81</v>
      </c>
      <c r="AG309" t="s">
        <v>80</v>
      </c>
      <c r="AH309" t="s">
        <v>80</v>
      </c>
      <c r="AI309" t="s">
        <v>81</v>
      </c>
      <c r="AJ309" t="s">
        <v>80</v>
      </c>
      <c r="AK309" t="s">
        <v>80</v>
      </c>
      <c r="AL309" t="s">
        <v>80</v>
      </c>
      <c r="AM309" t="s">
        <v>80</v>
      </c>
      <c r="AN309">
        <v>4</v>
      </c>
      <c r="AO309">
        <v>3</v>
      </c>
      <c r="AP309">
        <v>4</v>
      </c>
      <c r="AQ309">
        <v>1</v>
      </c>
      <c r="AR309">
        <v>1</v>
      </c>
      <c r="AS309">
        <v>4</v>
      </c>
      <c r="AT309">
        <v>38</v>
      </c>
      <c r="AU309" t="s">
        <v>106</v>
      </c>
      <c r="AV309">
        <v>9</v>
      </c>
      <c r="AW309">
        <v>8</v>
      </c>
    </row>
    <row r="310" spans="16:49" x14ac:dyDescent="0.25">
      <c r="P310">
        <v>309</v>
      </c>
      <c r="Q310" t="s">
        <v>68</v>
      </c>
      <c r="R310" t="s">
        <v>97</v>
      </c>
      <c r="S310">
        <v>19</v>
      </c>
      <c r="T310" t="s">
        <v>107</v>
      </c>
      <c r="U310" t="s">
        <v>71</v>
      </c>
      <c r="V310" t="s">
        <v>83</v>
      </c>
      <c r="W310" t="s">
        <v>95</v>
      </c>
      <c r="X310" t="s">
        <v>95</v>
      </c>
      <c r="Y310" t="s">
        <v>85</v>
      </c>
      <c r="Z310" t="s">
        <v>91</v>
      </c>
      <c r="AA310" t="s">
        <v>98</v>
      </c>
      <c r="AB310" t="s">
        <v>86</v>
      </c>
      <c r="AC310" t="s">
        <v>87</v>
      </c>
      <c r="AD310" t="s">
        <v>79</v>
      </c>
      <c r="AE310">
        <v>1</v>
      </c>
      <c r="AF310" t="s">
        <v>81</v>
      </c>
      <c r="AG310" t="s">
        <v>81</v>
      </c>
      <c r="AH310" t="s">
        <v>81</v>
      </c>
      <c r="AI310" t="s">
        <v>80</v>
      </c>
      <c r="AJ310" t="s">
        <v>80</v>
      </c>
      <c r="AK310" t="s">
        <v>80</v>
      </c>
      <c r="AL310" t="s">
        <v>81</v>
      </c>
      <c r="AM310" t="s">
        <v>80</v>
      </c>
      <c r="AN310">
        <v>4</v>
      </c>
      <c r="AO310">
        <v>5</v>
      </c>
      <c r="AP310">
        <v>3</v>
      </c>
      <c r="AQ310">
        <v>1</v>
      </c>
      <c r="AR310">
        <v>2</v>
      </c>
      <c r="AS310">
        <v>5</v>
      </c>
      <c r="AT310">
        <v>0</v>
      </c>
      <c r="AU310" t="s">
        <v>94</v>
      </c>
      <c r="AV310">
        <v>12</v>
      </c>
      <c r="AW310">
        <v>12</v>
      </c>
    </row>
    <row r="311" spans="16:49" x14ac:dyDescent="0.25">
      <c r="P311">
        <v>310</v>
      </c>
      <c r="Q311" t="s">
        <v>68</v>
      </c>
      <c r="R311" t="s">
        <v>69</v>
      </c>
      <c r="S311">
        <v>19</v>
      </c>
      <c r="T311" t="s">
        <v>70</v>
      </c>
      <c r="U311" t="s">
        <v>88</v>
      </c>
      <c r="V311" t="s">
        <v>83</v>
      </c>
      <c r="W311" t="s">
        <v>84</v>
      </c>
      <c r="X311" t="s">
        <v>84</v>
      </c>
      <c r="Y311" t="s">
        <v>74</v>
      </c>
      <c r="Z311" t="s">
        <v>85</v>
      </c>
      <c r="AA311" t="s">
        <v>98</v>
      </c>
      <c r="AB311" t="s">
        <v>85</v>
      </c>
      <c r="AC311" t="s">
        <v>87</v>
      </c>
      <c r="AD311" t="s">
        <v>79</v>
      </c>
      <c r="AE311">
        <v>1</v>
      </c>
      <c r="AF311" t="s">
        <v>80</v>
      </c>
      <c r="AG311" t="s">
        <v>80</v>
      </c>
      <c r="AH311" t="s">
        <v>81</v>
      </c>
      <c r="AI311" t="s">
        <v>80</v>
      </c>
      <c r="AJ311" t="s">
        <v>81</v>
      </c>
      <c r="AK311" t="s">
        <v>80</v>
      </c>
      <c r="AL311" t="s">
        <v>80</v>
      </c>
      <c r="AM311" t="s">
        <v>81</v>
      </c>
      <c r="AN311">
        <v>4</v>
      </c>
      <c r="AO311">
        <v>4</v>
      </c>
      <c r="AP311">
        <v>3</v>
      </c>
      <c r="AQ311">
        <v>1</v>
      </c>
      <c r="AR311">
        <v>3</v>
      </c>
      <c r="AS311">
        <v>3</v>
      </c>
      <c r="AT311">
        <v>18</v>
      </c>
      <c r="AU311" t="s">
        <v>99</v>
      </c>
      <c r="AV311">
        <v>10</v>
      </c>
      <c r="AW311">
        <v>10</v>
      </c>
    </row>
    <row r="312" spans="16:49" x14ac:dyDescent="0.25">
      <c r="P312">
        <v>311</v>
      </c>
      <c r="Q312" t="s">
        <v>68</v>
      </c>
      <c r="R312" t="s">
        <v>69</v>
      </c>
      <c r="S312">
        <v>19</v>
      </c>
      <c r="T312" t="s">
        <v>70</v>
      </c>
      <c r="U312" t="s">
        <v>88</v>
      </c>
      <c r="V312" t="s">
        <v>83</v>
      </c>
      <c r="W312" t="s">
        <v>84</v>
      </c>
      <c r="X312" t="s">
        <v>90</v>
      </c>
      <c r="Y312" t="s">
        <v>91</v>
      </c>
      <c r="Z312" t="s">
        <v>91</v>
      </c>
      <c r="AA312" t="s">
        <v>92</v>
      </c>
      <c r="AB312" t="s">
        <v>85</v>
      </c>
      <c r="AC312" t="s">
        <v>87</v>
      </c>
      <c r="AD312" t="s">
        <v>79</v>
      </c>
      <c r="AE312">
        <v>1</v>
      </c>
      <c r="AF312" t="s">
        <v>81</v>
      </c>
      <c r="AG312" t="s">
        <v>81</v>
      </c>
      <c r="AH312" t="s">
        <v>81</v>
      </c>
      <c r="AI312" t="s">
        <v>80</v>
      </c>
      <c r="AJ312" t="s">
        <v>81</v>
      </c>
      <c r="AK312" t="s">
        <v>80</v>
      </c>
      <c r="AL312" t="s">
        <v>81</v>
      </c>
      <c r="AM312" t="s">
        <v>80</v>
      </c>
      <c r="AN312">
        <v>4</v>
      </c>
      <c r="AO312">
        <v>2</v>
      </c>
      <c r="AP312">
        <v>4</v>
      </c>
      <c r="AQ312">
        <v>2</v>
      </c>
      <c r="AR312">
        <v>2</v>
      </c>
      <c r="AS312">
        <v>3</v>
      </c>
      <c r="AT312">
        <v>0</v>
      </c>
      <c r="AU312" t="s">
        <v>109</v>
      </c>
      <c r="AV312">
        <v>9</v>
      </c>
      <c r="AW312">
        <v>0</v>
      </c>
    </row>
    <row r="313" spans="16:49" x14ac:dyDescent="0.25">
      <c r="P313">
        <v>312</v>
      </c>
      <c r="Q313" t="s">
        <v>68</v>
      </c>
      <c r="R313" t="s">
        <v>69</v>
      </c>
      <c r="S313">
        <v>19</v>
      </c>
      <c r="T313" t="s">
        <v>70</v>
      </c>
      <c r="U313" t="s">
        <v>71</v>
      </c>
      <c r="V313" t="s">
        <v>83</v>
      </c>
      <c r="W313" t="s">
        <v>90</v>
      </c>
      <c r="X313" t="s">
        <v>84</v>
      </c>
      <c r="Y313" t="s">
        <v>74</v>
      </c>
      <c r="Z313" t="s">
        <v>85</v>
      </c>
      <c r="AA313" t="s">
        <v>85</v>
      </c>
      <c r="AB313" t="s">
        <v>85</v>
      </c>
      <c r="AC313" t="s">
        <v>103</v>
      </c>
      <c r="AD313" t="s">
        <v>79</v>
      </c>
      <c r="AE313">
        <v>0</v>
      </c>
      <c r="AF313" t="s">
        <v>81</v>
      </c>
      <c r="AG313" t="s">
        <v>80</v>
      </c>
      <c r="AH313" t="s">
        <v>81</v>
      </c>
      <c r="AI313" t="s">
        <v>81</v>
      </c>
      <c r="AJ313" t="s">
        <v>80</v>
      </c>
      <c r="AK313" t="s">
        <v>81</v>
      </c>
      <c r="AL313" t="s">
        <v>80</v>
      </c>
      <c r="AM313" t="s">
        <v>80</v>
      </c>
      <c r="AN313">
        <v>3</v>
      </c>
      <c r="AO313">
        <v>4</v>
      </c>
      <c r="AP313">
        <v>1</v>
      </c>
      <c r="AQ313">
        <v>1</v>
      </c>
      <c r="AR313">
        <v>1</v>
      </c>
      <c r="AS313">
        <v>2</v>
      </c>
      <c r="AT313">
        <v>20</v>
      </c>
      <c r="AU313" t="s">
        <v>101</v>
      </c>
      <c r="AV313">
        <v>12</v>
      </c>
      <c r="AW313">
        <v>13</v>
      </c>
    </row>
    <row r="314" spans="16:49" x14ac:dyDescent="0.25">
      <c r="P314">
        <v>313</v>
      </c>
      <c r="Q314" t="s">
        <v>68</v>
      </c>
      <c r="R314" t="s">
        <v>97</v>
      </c>
      <c r="S314">
        <v>19</v>
      </c>
      <c r="T314" t="s">
        <v>70</v>
      </c>
      <c r="U314" t="s">
        <v>71</v>
      </c>
      <c r="V314" t="s">
        <v>83</v>
      </c>
      <c r="W314" t="s">
        <v>84</v>
      </c>
      <c r="X314" t="s">
        <v>90</v>
      </c>
      <c r="Y314" t="s">
        <v>85</v>
      </c>
      <c r="Z314" t="s">
        <v>91</v>
      </c>
      <c r="AA314" t="s">
        <v>76</v>
      </c>
      <c r="AB314" t="s">
        <v>85</v>
      </c>
      <c r="AC314" t="s">
        <v>87</v>
      </c>
      <c r="AD314" t="s">
        <v>79</v>
      </c>
      <c r="AE314">
        <v>1</v>
      </c>
      <c r="AF314" t="s">
        <v>81</v>
      </c>
      <c r="AG314" t="s">
        <v>81</v>
      </c>
      <c r="AH314" t="s">
        <v>81</v>
      </c>
      <c r="AI314" t="s">
        <v>81</v>
      </c>
      <c r="AJ314" t="s">
        <v>81</v>
      </c>
      <c r="AK314" t="s">
        <v>80</v>
      </c>
      <c r="AL314" t="s">
        <v>80</v>
      </c>
      <c r="AM314" t="s">
        <v>81</v>
      </c>
      <c r="AN314">
        <v>4</v>
      </c>
      <c r="AO314">
        <v>5</v>
      </c>
      <c r="AP314">
        <v>2</v>
      </c>
      <c r="AQ314">
        <v>2</v>
      </c>
      <c r="AR314">
        <v>2</v>
      </c>
      <c r="AS314">
        <v>4</v>
      </c>
      <c r="AT314">
        <v>3</v>
      </c>
      <c r="AU314" t="s">
        <v>105</v>
      </c>
      <c r="AV314">
        <v>11</v>
      </c>
      <c r="AW314">
        <v>11</v>
      </c>
    </row>
    <row r="315" spans="16:49" x14ac:dyDescent="0.25">
      <c r="P315">
        <v>314</v>
      </c>
      <c r="Q315" t="s">
        <v>68</v>
      </c>
      <c r="R315" t="s">
        <v>69</v>
      </c>
      <c r="S315">
        <v>19</v>
      </c>
      <c r="T315" t="s">
        <v>70</v>
      </c>
      <c r="U315" t="s">
        <v>88</v>
      </c>
      <c r="V315" t="s">
        <v>83</v>
      </c>
      <c r="W315" t="s">
        <v>95</v>
      </c>
      <c r="X315" t="s">
        <v>90</v>
      </c>
      <c r="Y315" t="s">
        <v>91</v>
      </c>
      <c r="Z315" t="s">
        <v>85</v>
      </c>
      <c r="AA315" t="s">
        <v>98</v>
      </c>
      <c r="AB315" t="s">
        <v>85</v>
      </c>
      <c r="AC315" t="s">
        <v>78</v>
      </c>
      <c r="AD315" t="s">
        <v>79</v>
      </c>
      <c r="AE315">
        <v>1</v>
      </c>
      <c r="AF315" t="s">
        <v>81</v>
      </c>
      <c r="AG315" t="s">
        <v>80</v>
      </c>
      <c r="AH315" t="s">
        <v>80</v>
      </c>
      <c r="AI315" t="s">
        <v>81</v>
      </c>
      <c r="AJ315" t="s">
        <v>81</v>
      </c>
      <c r="AK315" t="s">
        <v>80</v>
      </c>
      <c r="AL315" t="s">
        <v>80</v>
      </c>
      <c r="AM315" t="s">
        <v>80</v>
      </c>
      <c r="AN315">
        <v>4</v>
      </c>
      <c r="AO315">
        <v>2</v>
      </c>
      <c r="AP315">
        <v>2</v>
      </c>
      <c r="AQ315">
        <v>1</v>
      </c>
      <c r="AR315">
        <v>2</v>
      </c>
      <c r="AS315">
        <v>1</v>
      </c>
      <c r="AT315">
        <v>22</v>
      </c>
      <c r="AU315" t="s">
        <v>105</v>
      </c>
      <c r="AV315">
        <v>10</v>
      </c>
      <c r="AW315">
        <v>11</v>
      </c>
    </row>
    <row r="316" spans="16:49" x14ac:dyDescent="0.25">
      <c r="P316">
        <v>315</v>
      </c>
      <c r="Q316" t="s">
        <v>68</v>
      </c>
      <c r="R316" t="s">
        <v>69</v>
      </c>
      <c r="S316">
        <v>19</v>
      </c>
      <c r="T316" t="s">
        <v>70</v>
      </c>
      <c r="U316" t="s">
        <v>71</v>
      </c>
      <c r="V316" t="s">
        <v>83</v>
      </c>
      <c r="W316" t="s">
        <v>84</v>
      </c>
      <c r="X316" t="s">
        <v>84</v>
      </c>
      <c r="Y316" t="s">
        <v>74</v>
      </c>
      <c r="Z316" t="s">
        <v>63</v>
      </c>
      <c r="AA316" t="s">
        <v>92</v>
      </c>
      <c r="AB316" t="s">
        <v>85</v>
      </c>
      <c r="AC316" t="s">
        <v>87</v>
      </c>
      <c r="AD316" t="s">
        <v>93</v>
      </c>
      <c r="AE316">
        <v>2</v>
      </c>
      <c r="AF316" t="s">
        <v>81</v>
      </c>
      <c r="AG316" t="s">
        <v>81</v>
      </c>
      <c r="AH316" t="s">
        <v>81</v>
      </c>
      <c r="AI316" t="s">
        <v>81</v>
      </c>
      <c r="AJ316" t="s">
        <v>81</v>
      </c>
      <c r="AK316" t="s">
        <v>80</v>
      </c>
      <c r="AL316" t="s">
        <v>80</v>
      </c>
      <c r="AM316" t="s">
        <v>80</v>
      </c>
      <c r="AN316">
        <v>4</v>
      </c>
      <c r="AO316">
        <v>1</v>
      </c>
      <c r="AP316">
        <v>2</v>
      </c>
      <c r="AQ316">
        <v>1</v>
      </c>
      <c r="AR316">
        <v>1</v>
      </c>
      <c r="AS316">
        <v>3</v>
      </c>
      <c r="AT316">
        <v>14</v>
      </c>
      <c r="AU316" t="s">
        <v>94</v>
      </c>
      <c r="AV316">
        <v>13</v>
      </c>
      <c r="AW316">
        <v>13</v>
      </c>
    </row>
    <row r="317" spans="16:49" x14ac:dyDescent="0.25">
      <c r="P317">
        <v>316</v>
      </c>
      <c r="Q317" t="s">
        <v>68</v>
      </c>
      <c r="R317" t="s">
        <v>69</v>
      </c>
      <c r="S317">
        <v>19</v>
      </c>
      <c r="T317" t="s">
        <v>107</v>
      </c>
      <c r="U317" t="s">
        <v>71</v>
      </c>
      <c r="V317" t="s">
        <v>83</v>
      </c>
      <c r="W317" t="s">
        <v>90</v>
      </c>
      <c r="X317" t="s">
        <v>95</v>
      </c>
      <c r="Y317" t="s">
        <v>85</v>
      </c>
      <c r="Z317" t="s">
        <v>85</v>
      </c>
      <c r="AA317" t="s">
        <v>98</v>
      </c>
      <c r="AB317" t="s">
        <v>85</v>
      </c>
      <c r="AC317" t="s">
        <v>87</v>
      </c>
      <c r="AD317" t="s">
        <v>93</v>
      </c>
      <c r="AE317">
        <v>1</v>
      </c>
      <c r="AF317" t="s">
        <v>81</v>
      </c>
      <c r="AG317" t="s">
        <v>81</v>
      </c>
      <c r="AH317" t="s">
        <v>81</v>
      </c>
      <c r="AI317" t="s">
        <v>81</v>
      </c>
      <c r="AJ317" t="s">
        <v>80</v>
      </c>
      <c r="AK317" t="s">
        <v>80</v>
      </c>
      <c r="AL317" t="s">
        <v>80</v>
      </c>
      <c r="AM317" t="s">
        <v>80</v>
      </c>
      <c r="AN317">
        <v>4</v>
      </c>
      <c r="AO317">
        <v>1</v>
      </c>
      <c r="AP317">
        <v>2</v>
      </c>
      <c r="AQ317">
        <v>1</v>
      </c>
      <c r="AR317">
        <v>1</v>
      </c>
      <c r="AS317">
        <v>3</v>
      </c>
      <c r="AT317">
        <v>40</v>
      </c>
      <c r="AU317" t="s">
        <v>105</v>
      </c>
      <c r="AV317">
        <v>11</v>
      </c>
      <c r="AW317">
        <v>11</v>
      </c>
    </row>
    <row r="318" spans="16:49" x14ac:dyDescent="0.25">
      <c r="P318">
        <v>317</v>
      </c>
      <c r="Q318" t="s">
        <v>68</v>
      </c>
      <c r="R318" t="s">
        <v>69</v>
      </c>
      <c r="S318">
        <v>18</v>
      </c>
      <c r="T318" t="s">
        <v>70</v>
      </c>
      <c r="U318" t="s">
        <v>71</v>
      </c>
      <c r="V318" t="s">
        <v>83</v>
      </c>
      <c r="W318" t="s">
        <v>90</v>
      </c>
      <c r="X318" t="s">
        <v>84</v>
      </c>
      <c r="Y318" t="s">
        <v>91</v>
      </c>
      <c r="Z318" t="s">
        <v>85</v>
      </c>
      <c r="AA318" t="s">
        <v>76</v>
      </c>
      <c r="AB318" t="s">
        <v>77</v>
      </c>
      <c r="AC318" t="s">
        <v>78</v>
      </c>
      <c r="AD318" t="s">
        <v>79</v>
      </c>
      <c r="AE318">
        <v>0</v>
      </c>
      <c r="AF318" t="s">
        <v>81</v>
      </c>
      <c r="AG318" t="s">
        <v>80</v>
      </c>
      <c r="AH318" t="s">
        <v>80</v>
      </c>
      <c r="AI318" t="s">
        <v>80</v>
      </c>
      <c r="AJ318" t="s">
        <v>80</v>
      </c>
      <c r="AK318" t="s">
        <v>80</v>
      </c>
      <c r="AL318" t="s">
        <v>80</v>
      </c>
      <c r="AM318" t="s">
        <v>81</v>
      </c>
      <c r="AN318">
        <v>5</v>
      </c>
      <c r="AO318">
        <v>3</v>
      </c>
      <c r="AP318">
        <v>3</v>
      </c>
      <c r="AQ318">
        <v>1</v>
      </c>
      <c r="AR318">
        <v>2</v>
      </c>
      <c r="AS318">
        <v>1</v>
      </c>
      <c r="AT318">
        <v>0</v>
      </c>
      <c r="AU318" t="s">
        <v>106</v>
      </c>
      <c r="AV318">
        <v>8</v>
      </c>
      <c r="AW318">
        <v>0</v>
      </c>
    </row>
    <row r="319" spans="16:49" x14ac:dyDescent="0.25">
      <c r="P319">
        <v>318</v>
      </c>
      <c r="Q319" t="s">
        <v>68</v>
      </c>
      <c r="R319" t="s">
        <v>69</v>
      </c>
      <c r="S319">
        <v>18</v>
      </c>
      <c r="T319" t="s">
        <v>70</v>
      </c>
      <c r="U319" t="s">
        <v>71</v>
      </c>
      <c r="V319" t="s">
        <v>83</v>
      </c>
      <c r="W319" t="s">
        <v>73</v>
      </c>
      <c r="X319" t="s">
        <v>95</v>
      </c>
      <c r="Y319" t="s">
        <v>85</v>
      </c>
      <c r="Z319" t="s">
        <v>85</v>
      </c>
      <c r="AA319" t="s">
        <v>76</v>
      </c>
      <c r="AB319" t="s">
        <v>77</v>
      </c>
      <c r="AC319" t="s">
        <v>87</v>
      </c>
      <c r="AD319" t="s">
        <v>93</v>
      </c>
      <c r="AE319">
        <v>0</v>
      </c>
      <c r="AF319" t="s">
        <v>81</v>
      </c>
      <c r="AG319" t="s">
        <v>80</v>
      </c>
      <c r="AH319" t="s">
        <v>80</v>
      </c>
      <c r="AI319" t="s">
        <v>80</v>
      </c>
      <c r="AJ319" t="s">
        <v>80</v>
      </c>
      <c r="AK319" t="s">
        <v>80</v>
      </c>
      <c r="AL319" t="s">
        <v>80</v>
      </c>
      <c r="AM319" t="s">
        <v>80</v>
      </c>
      <c r="AN319">
        <v>4</v>
      </c>
      <c r="AO319">
        <v>3</v>
      </c>
      <c r="AP319">
        <v>4</v>
      </c>
      <c r="AQ319">
        <v>1</v>
      </c>
      <c r="AR319">
        <v>1</v>
      </c>
      <c r="AS319">
        <v>5</v>
      </c>
      <c r="AT319">
        <v>9</v>
      </c>
      <c r="AU319" t="s">
        <v>109</v>
      </c>
      <c r="AV319">
        <v>10</v>
      </c>
      <c r="AW319">
        <v>9</v>
      </c>
    </row>
    <row r="320" spans="16:49" x14ac:dyDescent="0.25">
      <c r="P320">
        <v>319</v>
      </c>
      <c r="Q320" t="s">
        <v>68</v>
      </c>
      <c r="R320" t="s">
        <v>69</v>
      </c>
      <c r="S320">
        <v>17</v>
      </c>
      <c r="T320" t="s">
        <v>107</v>
      </c>
      <c r="U320" t="s">
        <v>71</v>
      </c>
      <c r="V320" t="s">
        <v>83</v>
      </c>
      <c r="W320" t="s">
        <v>95</v>
      </c>
      <c r="X320" t="s">
        <v>73</v>
      </c>
      <c r="Y320" t="s">
        <v>74</v>
      </c>
      <c r="Z320" t="s">
        <v>91</v>
      </c>
      <c r="AA320" t="s">
        <v>76</v>
      </c>
      <c r="AB320" t="s">
        <v>86</v>
      </c>
      <c r="AC320" t="s">
        <v>87</v>
      </c>
      <c r="AD320" t="s">
        <v>93</v>
      </c>
      <c r="AE320">
        <v>0</v>
      </c>
      <c r="AF320" t="s">
        <v>81</v>
      </c>
      <c r="AG320" t="s">
        <v>80</v>
      </c>
      <c r="AH320" t="s">
        <v>80</v>
      </c>
      <c r="AI320" t="s">
        <v>80</v>
      </c>
      <c r="AJ320" t="s">
        <v>81</v>
      </c>
      <c r="AK320" t="s">
        <v>80</v>
      </c>
      <c r="AL320" t="s">
        <v>80</v>
      </c>
      <c r="AM320" t="s">
        <v>81</v>
      </c>
      <c r="AN320">
        <v>4</v>
      </c>
      <c r="AO320">
        <v>3</v>
      </c>
      <c r="AP320">
        <v>4</v>
      </c>
      <c r="AQ320">
        <v>2</v>
      </c>
      <c r="AR320">
        <v>5</v>
      </c>
      <c r="AS320">
        <v>5</v>
      </c>
      <c r="AT320">
        <v>0</v>
      </c>
      <c r="AU320" t="s">
        <v>108</v>
      </c>
      <c r="AV320">
        <v>11</v>
      </c>
      <c r="AW320">
        <v>10</v>
      </c>
    </row>
    <row r="321" spans="16:49" x14ac:dyDescent="0.25">
      <c r="P321">
        <v>320</v>
      </c>
      <c r="Q321" t="s">
        <v>68</v>
      </c>
      <c r="R321" t="s">
        <v>69</v>
      </c>
      <c r="S321">
        <v>18</v>
      </c>
      <c r="T321" t="s">
        <v>70</v>
      </c>
      <c r="U321" t="s">
        <v>71</v>
      </c>
      <c r="V321" t="s">
        <v>83</v>
      </c>
      <c r="W321" t="s">
        <v>73</v>
      </c>
      <c r="X321" t="s">
        <v>73</v>
      </c>
      <c r="Y321" t="s">
        <v>75</v>
      </c>
      <c r="Z321" t="s">
        <v>85</v>
      </c>
      <c r="AA321" t="s">
        <v>76</v>
      </c>
      <c r="AB321" t="s">
        <v>77</v>
      </c>
      <c r="AC321" t="s">
        <v>87</v>
      </c>
      <c r="AD321" t="s">
        <v>79</v>
      </c>
      <c r="AE321">
        <v>0</v>
      </c>
      <c r="AF321" t="s">
        <v>81</v>
      </c>
      <c r="AG321" t="s">
        <v>80</v>
      </c>
      <c r="AH321" t="s">
        <v>80</v>
      </c>
      <c r="AI321" t="s">
        <v>81</v>
      </c>
      <c r="AJ321" t="s">
        <v>80</v>
      </c>
      <c r="AK321" t="s">
        <v>80</v>
      </c>
      <c r="AL321" t="s">
        <v>80</v>
      </c>
      <c r="AM321" t="s">
        <v>81</v>
      </c>
      <c r="AN321">
        <v>4</v>
      </c>
      <c r="AO321">
        <v>4</v>
      </c>
      <c r="AP321">
        <v>4</v>
      </c>
      <c r="AQ321">
        <v>3</v>
      </c>
      <c r="AR321">
        <v>3</v>
      </c>
      <c r="AS321">
        <v>5</v>
      </c>
      <c r="AT321">
        <v>2</v>
      </c>
      <c r="AU321" t="s">
        <v>108</v>
      </c>
      <c r="AV321">
        <v>11</v>
      </c>
      <c r="AW321">
        <v>11</v>
      </c>
    </row>
    <row r="322" spans="16:49" x14ac:dyDescent="0.25">
      <c r="P322">
        <v>321</v>
      </c>
      <c r="Q322" t="s">
        <v>68</v>
      </c>
      <c r="R322" t="s">
        <v>69</v>
      </c>
      <c r="S322">
        <v>17</v>
      </c>
      <c r="T322" t="s">
        <v>70</v>
      </c>
      <c r="U322" t="s">
        <v>71</v>
      </c>
      <c r="V322" t="s">
        <v>72</v>
      </c>
      <c r="W322" t="s">
        <v>73</v>
      </c>
      <c r="X322" t="s">
        <v>95</v>
      </c>
      <c r="Y322" t="s">
        <v>91</v>
      </c>
      <c r="Z322" t="s">
        <v>91</v>
      </c>
      <c r="AA322" t="s">
        <v>76</v>
      </c>
      <c r="AB322" t="s">
        <v>77</v>
      </c>
      <c r="AC322" t="s">
        <v>87</v>
      </c>
      <c r="AD322" t="s">
        <v>79</v>
      </c>
      <c r="AE322">
        <v>0</v>
      </c>
      <c r="AF322" t="s">
        <v>81</v>
      </c>
      <c r="AG322" t="s">
        <v>80</v>
      </c>
      <c r="AH322" t="s">
        <v>80</v>
      </c>
      <c r="AI322" t="s">
        <v>81</v>
      </c>
      <c r="AJ322" t="s">
        <v>80</v>
      </c>
      <c r="AK322" t="s">
        <v>80</v>
      </c>
      <c r="AL322" t="s">
        <v>80</v>
      </c>
      <c r="AM322" t="s">
        <v>80</v>
      </c>
      <c r="AN322">
        <v>5</v>
      </c>
      <c r="AO322">
        <v>2</v>
      </c>
      <c r="AP322">
        <v>2</v>
      </c>
      <c r="AQ322">
        <v>1</v>
      </c>
      <c r="AR322">
        <v>2</v>
      </c>
      <c r="AS322">
        <v>5</v>
      </c>
      <c r="AT322">
        <v>23</v>
      </c>
      <c r="AU322" t="s">
        <v>105</v>
      </c>
      <c r="AV322">
        <v>13</v>
      </c>
      <c r="AW322">
        <v>13</v>
      </c>
    </row>
    <row r="323" spans="16:49" x14ac:dyDescent="0.25">
      <c r="P323">
        <v>322</v>
      </c>
      <c r="Q323" t="s">
        <v>68</v>
      </c>
      <c r="R323" t="s">
        <v>69</v>
      </c>
      <c r="S323">
        <v>17</v>
      </c>
      <c r="T323" t="s">
        <v>70</v>
      </c>
      <c r="U323" t="s">
        <v>71</v>
      </c>
      <c r="V323" t="s">
        <v>83</v>
      </c>
      <c r="W323" t="s">
        <v>90</v>
      </c>
      <c r="X323" t="s">
        <v>90</v>
      </c>
      <c r="Y323" t="s">
        <v>85</v>
      </c>
      <c r="Z323" t="s">
        <v>85</v>
      </c>
      <c r="AA323" t="s">
        <v>76</v>
      </c>
      <c r="AB323" t="s">
        <v>77</v>
      </c>
      <c r="AC323" t="s">
        <v>87</v>
      </c>
      <c r="AD323" t="s">
        <v>79</v>
      </c>
      <c r="AE323">
        <v>0</v>
      </c>
      <c r="AF323" t="s">
        <v>81</v>
      </c>
      <c r="AG323" t="s">
        <v>80</v>
      </c>
      <c r="AH323" t="s">
        <v>81</v>
      </c>
      <c r="AI323" t="s">
        <v>81</v>
      </c>
      <c r="AJ323" t="s">
        <v>80</v>
      </c>
      <c r="AK323" t="s">
        <v>80</v>
      </c>
      <c r="AL323" t="s">
        <v>81</v>
      </c>
      <c r="AM323" t="s">
        <v>80</v>
      </c>
      <c r="AN323">
        <v>4</v>
      </c>
      <c r="AO323">
        <v>2</v>
      </c>
      <c r="AP323">
        <v>2</v>
      </c>
      <c r="AQ323">
        <v>1</v>
      </c>
      <c r="AR323">
        <v>1</v>
      </c>
      <c r="AS323">
        <v>3</v>
      </c>
      <c r="AT323">
        <v>12</v>
      </c>
      <c r="AU323" t="s">
        <v>108</v>
      </c>
      <c r="AV323">
        <v>9</v>
      </c>
      <c r="AW323">
        <v>9</v>
      </c>
    </row>
    <row r="324" spans="16:49" x14ac:dyDescent="0.25">
      <c r="P324">
        <v>323</v>
      </c>
      <c r="Q324" t="s">
        <v>68</v>
      </c>
      <c r="R324" t="s">
        <v>69</v>
      </c>
      <c r="S324">
        <v>17</v>
      </c>
      <c r="T324" t="s">
        <v>107</v>
      </c>
      <c r="U324" t="s">
        <v>88</v>
      </c>
      <c r="V324" t="s">
        <v>83</v>
      </c>
      <c r="W324" t="s">
        <v>90</v>
      </c>
      <c r="X324" t="s">
        <v>90</v>
      </c>
      <c r="Y324" t="s">
        <v>91</v>
      </c>
      <c r="Z324" t="s">
        <v>91</v>
      </c>
      <c r="AA324" t="s">
        <v>76</v>
      </c>
      <c r="AB324" t="s">
        <v>77</v>
      </c>
      <c r="AC324" t="s">
        <v>87</v>
      </c>
      <c r="AD324" t="s">
        <v>93</v>
      </c>
      <c r="AE324">
        <v>0</v>
      </c>
      <c r="AF324" t="s">
        <v>81</v>
      </c>
      <c r="AG324" t="s">
        <v>80</v>
      </c>
      <c r="AH324" t="s">
        <v>80</v>
      </c>
      <c r="AI324" t="s">
        <v>80</v>
      </c>
      <c r="AJ324" t="s">
        <v>80</v>
      </c>
      <c r="AK324" t="s">
        <v>80</v>
      </c>
      <c r="AL324" t="s">
        <v>80</v>
      </c>
      <c r="AM324" t="s">
        <v>81</v>
      </c>
      <c r="AN324">
        <v>3</v>
      </c>
      <c r="AO324">
        <v>3</v>
      </c>
      <c r="AP324">
        <v>2</v>
      </c>
      <c r="AQ324">
        <v>2</v>
      </c>
      <c r="AR324">
        <v>2</v>
      </c>
      <c r="AS324">
        <v>3</v>
      </c>
      <c r="AT324">
        <v>3</v>
      </c>
      <c r="AU324" t="s">
        <v>108</v>
      </c>
      <c r="AV324">
        <v>11</v>
      </c>
      <c r="AW324">
        <v>11</v>
      </c>
    </row>
    <row r="325" spans="16:49" x14ac:dyDescent="0.25">
      <c r="P325">
        <v>324</v>
      </c>
      <c r="Q325" t="s">
        <v>68</v>
      </c>
      <c r="R325" t="s">
        <v>69</v>
      </c>
      <c r="S325">
        <v>17</v>
      </c>
      <c r="T325" t="s">
        <v>70</v>
      </c>
      <c r="U325" t="s">
        <v>71</v>
      </c>
      <c r="V325" t="s">
        <v>83</v>
      </c>
      <c r="W325" t="s">
        <v>95</v>
      </c>
      <c r="X325" t="s">
        <v>84</v>
      </c>
      <c r="Y325" t="s">
        <v>91</v>
      </c>
      <c r="Z325" t="s">
        <v>91</v>
      </c>
      <c r="AA325" t="s">
        <v>76</v>
      </c>
      <c r="AB325" t="s">
        <v>86</v>
      </c>
      <c r="AC325" t="s">
        <v>87</v>
      </c>
      <c r="AD325" t="s">
        <v>93</v>
      </c>
      <c r="AE325">
        <v>0</v>
      </c>
      <c r="AF325" t="s">
        <v>81</v>
      </c>
      <c r="AG325" t="s">
        <v>80</v>
      </c>
      <c r="AH325" t="s">
        <v>81</v>
      </c>
      <c r="AI325" t="s">
        <v>81</v>
      </c>
      <c r="AJ325" t="s">
        <v>81</v>
      </c>
      <c r="AK325" t="s">
        <v>80</v>
      </c>
      <c r="AL325" t="s">
        <v>80</v>
      </c>
      <c r="AM325" t="s">
        <v>81</v>
      </c>
      <c r="AN325">
        <v>3</v>
      </c>
      <c r="AO325">
        <v>4</v>
      </c>
      <c r="AP325">
        <v>3</v>
      </c>
      <c r="AQ325">
        <v>2</v>
      </c>
      <c r="AR325">
        <v>3</v>
      </c>
      <c r="AS325">
        <v>5</v>
      </c>
      <c r="AT325">
        <v>1</v>
      </c>
      <c r="AU325" t="s">
        <v>99</v>
      </c>
      <c r="AV325">
        <v>14</v>
      </c>
      <c r="AW325">
        <v>15</v>
      </c>
    </row>
    <row r="326" spans="16:49" x14ac:dyDescent="0.25">
      <c r="P326">
        <v>325</v>
      </c>
      <c r="Q326" t="s">
        <v>68</v>
      </c>
      <c r="R326" t="s">
        <v>69</v>
      </c>
      <c r="S326">
        <v>17</v>
      </c>
      <c r="T326" t="s">
        <v>70</v>
      </c>
      <c r="U326" t="s">
        <v>88</v>
      </c>
      <c r="V326" t="s">
        <v>83</v>
      </c>
      <c r="W326" t="s">
        <v>114</v>
      </c>
      <c r="X326" t="s">
        <v>90</v>
      </c>
      <c r="Y326" t="s">
        <v>74</v>
      </c>
      <c r="Z326" t="s">
        <v>74</v>
      </c>
      <c r="AA326" t="s">
        <v>92</v>
      </c>
      <c r="AB326" t="s">
        <v>86</v>
      </c>
      <c r="AC326" t="s">
        <v>78</v>
      </c>
      <c r="AD326" t="s">
        <v>93</v>
      </c>
      <c r="AE326">
        <v>0</v>
      </c>
      <c r="AF326" t="s">
        <v>81</v>
      </c>
      <c r="AG326" t="s">
        <v>81</v>
      </c>
      <c r="AH326" t="s">
        <v>81</v>
      </c>
      <c r="AI326" t="s">
        <v>81</v>
      </c>
      <c r="AJ326" t="s">
        <v>80</v>
      </c>
      <c r="AK326" t="s">
        <v>80</v>
      </c>
      <c r="AL326" t="s">
        <v>80</v>
      </c>
      <c r="AM326" t="s">
        <v>81</v>
      </c>
      <c r="AN326">
        <v>3</v>
      </c>
      <c r="AO326">
        <v>3</v>
      </c>
      <c r="AP326">
        <v>3</v>
      </c>
      <c r="AQ326">
        <v>2</v>
      </c>
      <c r="AR326">
        <v>3</v>
      </c>
      <c r="AS326">
        <v>2</v>
      </c>
      <c r="AT326">
        <v>0</v>
      </c>
      <c r="AU326" t="s">
        <v>100</v>
      </c>
      <c r="AV326">
        <v>15</v>
      </c>
      <c r="AW326">
        <v>15</v>
      </c>
    </row>
    <row r="327" spans="16:49" x14ac:dyDescent="0.25">
      <c r="P327">
        <v>326</v>
      </c>
      <c r="Q327" t="s">
        <v>68</v>
      </c>
      <c r="R327" t="s">
        <v>97</v>
      </c>
      <c r="S327">
        <v>18</v>
      </c>
      <c r="T327" t="s">
        <v>70</v>
      </c>
      <c r="U327" t="s">
        <v>71</v>
      </c>
      <c r="V327" t="s">
        <v>83</v>
      </c>
      <c r="W327" t="s">
        <v>73</v>
      </c>
      <c r="X327" t="s">
        <v>73</v>
      </c>
      <c r="Y327" t="s">
        <v>85</v>
      </c>
      <c r="Z327" t="s">
        <v>85</v>
      </c>
      <c r="AA327" t="s">
        <v>76</v>
      </c>
      <c r="AB327" t="s">
        <v>77</v>
      </c>
      <c r="AC327" t="s">
        <v>87</v>
      </c>
      <c r="AD327" t="s">
        <v>93</v>
      </c>
      <c r="AE327">
        <v>0</v>
      </c>
      <c r="AF327" t="s">
        <v>81</v>
      </c>
      <c r="AG327" t="s">
        <v>81</v>
      </c>
      <c r="AH327" t="s">
        <v>81</v>
      </c>
      <c r="AI327" t="s">
        <v>80</v>
      </c>
      <c r="AJ327" t="s">
        <v>80</v>
      </c>
      <c r="AK327" t="s">
        <v>80</v>
      </c>
      <c r="AL327" t="s">
        <v>80</v>
      </c>
      <c r="AM327" t="s">
        <v>81</v>
      </c>
      <c r="AN327">
        <v>4</v>
      </c>
      <c r="AO327">
        <v>3</v>
      </c>
      <c r="AP327">
        <v>3</v>
      </c>
      <c r="AQ327">
        <v>2</v>
      </c>
      <c r="AR327">
        <v>2</v>
      </c>
      <c r="AS327">
        <v>3</v>
      </c>
      <c r="AT327">
        <v>3</v>
      </c>
      <c r="AU327" t="s">
        <v>109</v>
      </c>
      <c r="AV327">
        <v>12</v>
      </c>
      <c r="AW327">
        <v>11</v>
      </c>
    </row>
    <row r="328" spans="16:49" x14ac:dyDescent="0.25">
      <c r="P328">
        <v>327</v>
      </c>
      <c r="Q328" t="s">
        <v>68</v>
      </c>
      <c r="R328" t="s">
        <v>97</v>
      </c>
      <c r="S328">
        <v>17</v>
      </c>
      <c r="T328" t="s">
        <v>70</v>
      </c>
      <c r="U328" t="s">
        <v>71</v>
      </c>
      <c r="V328" t="s">
        <v>83</v>
      </c>
      <c r="W328" t="s">
        <v>95</v>
      </c>
      <c r="X328" t="s">
        <v>95</v>
      </c>
      <c r="Y328" t="s">
        <v>85</v>
      </c>
      <c r="Z328" t="s">
        <v>91</v>
      </c>
      <c r="AA328" t="s">
        <v>98</v>
      </c>
      <c r="AB328" t="s">
        <v>77</v>
      </c>
      <c r="AC328" t="s">
        <v>87</v>
      </c>
      <c r="AD328" t="s">
        <v>104</v>
      </c>
      <c r="AE328">
        <v>0</v>
      </c>
      <c r="AF328" t="s">
        <v>81</v>
      </c>
      <c r="AG328" t="s">
        <v>81</v>
      </c>
      <c r="AH328" t="s">
        <v>81</v>
      </c>
      <c r="AI328" t="s">
        <v>80</v>
      </c>
      <c r="AJ328" t="s">
        <v>81</v>
      </c>
      <c r="AK328" t="s">
        <v>80</v>
      </c>
      <c r="AL328" t="s">
        <v>80</v>
      </c>
      <c r="AM328" t="s">
        <v>81</v>
      </c>
      <c r="AN328">
        <v>4</v>
      </c>
      <c r="AO328">
        <v>3</v>
      </c>
      <c r="AP328">
        <v>5</v>
      </c>
      <c r="AQ328">
        <v>3</v>
      </c>
      <c r="AR328">
        <v>5</v>
      </c>
      <c r="AS328">
        <v>5</v>
      </c>
      <c r="AT328">
        <v>3</v>
      </c>
      <c r="AU328" t="s">
        <v>101</v>
      </c>
      <c r="AV328">
        <v>15</v>
      </c>
      <c r="AW328">
        <v>16</v>
      </c>
    </row>
    <row r="329" spans="16:49" x14ac:dyDescent="0.25">
      <c r="P329">
        <v>328</v>
      </c>
      <c r="Q329" t="s">
        <v>68</v>
      </c>
      <c r="R329" t="s">
        <v>97</v>
      </c>
      <c r="S329">
        <v>17</v>
      </c>
      <c r="T329" t="s">
        <v>107</v>
      </c>
      <c r="U329" t="s">
        <v>71</v>
      </c>
      <c r="V329" t="s">
        <v>83</v>
      </c>
      <c r="W329" t="s">
        <v>90</v>
      </c>
      <c r="X329" t="s">
        <v>90</v>
      </c>
      <c r="Y329" t="s">
        <v>91</v>
      </c>
      <c r="Z329" t="s">
        <v>85</v>
      </c>
      <c r="AA329" t="s">
        <v>76</v>
      </c>
      <c r="AB329" t="s">
        <v>77</v>
      </c>
      <c r="AC329" t="s">
        <v>113</v>
      </c>
      <c r="AD329" t="s">
        <v>104</v>
      </c>
      <c r="AE329">
        <v>0</v>
      </c>
      <c r="AF329" t="s">
        <v>81</v>
      </c>
      <c r="AG329" t="s">
        <v>80</v>
      </c>
      <c r="AH329" t="s">
        <v>81</v>
      </c>
      <c r="AI329" t="s">
        <v>81</v>
      </c>
      <c r="AJ329" t="s">
        <v>80</v>
      </c>
      <c r="AK329" t="s">
        <v>80</v>
      </c>
      <c r="AL329" t="s">
        <v>80</v>
      </c>
      <c r="AM329" t="s">
        <v>81</v>
      </c>
      <c r="AN329">
        <v>4</v>
      </c>
      <c r="AO329">
        <v>4</v>
      </c>
      <c r="AP329">
        <v>5</v>
      </c>
      <c r="AQ329">
        <v>5</v>
      </c>
      <c r="AR329">
        <v>5</v>
      </c>
      <c r="AS329">
        <v>4</v>
      </c>
      <c r="AT329">
        <v>8</v>
      </c>
      <c r="AU329" t="s">
        <v>108</v>
      </c>
      <c r="AV329">
        <v>10</v>
      </c>
      <c r="AW329">
        <v>10</v>
      </c>
    </row>
    <row r="330" spans="16:49" x14ac:dyDescent="0.25">
      <c r="P330">
        <v>329</v>
      </c>
      <c r="Q330" t="s">
        <v>68</v>
      </c>
      <c r="R330" t="s">
        <v>69</v>
      </c>
      <c r="S330">
        <v>17</v>
      </c>
      <c r="T330" t="s">
        <v>70</v>
      </c>
      <c r="U330" t="s">
        <v>71</v>
      </c>
      <c r="V330" t="s">
        <v>83</v>
      </c>
      <c r="W330" t="s">
        <v>73</v>
      </c>
      <c r="X330" t="s">
        <v>73</v>
      </c>
      <c r="Y330" t="s">
        <v>75</v>
      </c>
      <c r="Z330" t="s">
        <v>91</v>
      </c>
      <c r="AA330" t="s">
        <v>76</v>
      </c>
      <c r="AB330" t="s">
        <v>77</v>
      </c>
      <c r="AC330" t="s">
        <v>87</v>
      </c>
      <c r="AD330" t="s">
        <v>93</v>
      </c>
      <c r="AE330">
        <v>0</v>
      </c>
      <c r="AF330" t="s">
        <v>81</v>
      </c>
      <c r="AG330" t="s">
        <v>80</v>
      </c>
      <c r="AH330" t="s">
        <v>80</v>
      </c>
      <c r="AI330" t="s">
        <v>80</v>
      </c>
      <c r="AJ330" t="s">
        <v>80</v>
      </c>
      <c r="AK330" t="s">
        <v>80</v>
      </c>
      <c r="AL330" t="s">
        <v>80</v>
      </c>
      <c r="AM330" t="s">
        <v>81</v>
      </c>
      <c r="AN330">
        <v>5</v>
      </c>
      <c r="AO330">
        <v>4</v>
      </c>
      <c r="AP330">
        <v>4</v>
      </c>
      <c r="AQ330">
        <v>1</v>
      </c>
      <c r="AR330">
        <v>3</v>
      </c>
      <c r="AS330">
        <v>4</v>
      </c>
      <c r="AT330">
        <v>7</v>
      </c>
      <c r="AU330" t="s">
        <v>102</v>
      </c>
      <c r="AV330">
        <v>9</v>
      </c>
      <c r="AW330">
        <v>9</v>
      </c>
    </row>
    <row r="331" spans="16:49" x14ac:dyDescent="0.25">
      <c r="P331">
        <v>330</v>
      </c>
      <c r="Q331" t="s">
        <v>68</v>
      </c>
      <c r="R331" t="s">
        <v>69</v>
      </c>
      <c r="S331">
        <v>17</v>
      </c>
      <c r="T331" t="s">
        <v>70</v>
      </c>
      <c r="U331" t="s">
        <v>71</v>
      </c>
      <c r="V331" t="s">
        <v>83</v>
      </c>
      <c r="W331" t="s">
        <v>73</v>
      </c>
      <c r="X331" t="s">
        <v>73</v>
      </c>
      <c r="Y331" t="s">
        <v>75</v>
      </c>
      <c r="Z331" t="s">
        <v>75</v>
      </c>
      <c r="AA331" t="s">
        <v>76</v>
      </c>
      <c r="AB331" t="s">
        <v>77</v>
      </c>
      <c r="AC331" t="s">
        <v>78</v>
      </c>
      <c r="AD331" t="s">
        <v>93</v>
      </c>
      <c r="AE331">
        <v>0</v>
      </c>
      <c r="AF331" t="s">
        <v>81</v>
      </c>
      <c r="AG331" t="s">
        <v>80</v>
      </c>
      <c r="AH331" t="s">
        <v>80</v>
      </c>
      <c r="AI331" t="s">
        <v>81</v>
      </c>
      <c r="AJ331" t="s">
        <v>81</v>
      </c>
      <c r="AK331" t="s">
        <v>80</v>
      </c>
      <c r="AL331" t="s">
        <v>80</v>
      </c>
      <c r="AM331" t="s">
        <v>80</v>
      </c>
      <c r="AN331">
        <v>4</v>
      </c>
      <c r="AO331">
        <v>3</v>
      </c>
      <c r="AP331">
        <v>3</v>
      </c>
      <c r="AQ331">
        <v>1</v>
      </c>
      <c r="AR331">
        <v>2</v>
      </c>
      <c r="AS331">
        <v>4</v>
      </c>
      <c r="AT331">
        <v>4</v>
      </c>
      <c r="AU331" t="s">
        <v>101</v>
      </c>
      <c r="AV331">
        <v>14</v>
      </c>
      <c r="AW331">
        <v>14</v>
      </c>
    </row>
    <row r="332" spans="16:49" x14ac:dyDescent="0.25">
      <c r="P332">
        <v>331</v>
      </c>
      <c r="Q332" t="s">
        <v>68</v>
      </c>
      <c r="R332" t="s">
        <v>97</v>
      </c>
      <c r="S332">
        <v>18</v>
      </c>
      <c r="T332" t="s">
        <v>70</v>
      </c>
      <c r="U332" t="s">
        <v>88</v>
      </c>
      <c r="V332" t="s">
        <v>83</v>
      </c>
      <c r="W332" t="s">
        <v>90</v>
      </c>
      <c r="X332" t="s">
        <v>90</v>
      </c>
      <c r="Y332" t="s">
        <v>85</v>
      </c>
      <c r="Z332" t="s">
        <v>85</v>
      </c>
      <c r="AA332" t="s">
        <v>76</v>
      </c>
      <c r="AB332" t="s">
        <v>77</v>
      </c>
      <c r="AC332" t="s">
        <v>87</v>
      </c>
      <c r="AD332" t="s">
        <v>112</v>
      </c>
      <c r="AE332">
        <v>0</v>
      </c>
      <c r="AF332" t="s">
        <v>81</v>
      </c>
      <c r="AG332" t="s">
        <v>80</v>
      </c>
      <c r="AH332" t="s">
        <v>81</v>
      </c>
      <c r="AI332" t="s">
        <v>80</v>
      </c>
      <c r="AJ332" t="s">
        <v>80</v>
      </c>
      <c r="AK332" t="s">
        <v>80</v>
      </c>
      <c r="AL332" t="s">
        <v>80</v>
      </c>
      <c r="AM332" t="s">
        <v>81</v>
      </c>
      <c r="AN332">
        <v>4</v>
      </c>
      <c r="AO332">
        <v>5</v>
      </c>
      <c r="AP332">
        <v>5</v>
      </c>
      <c r="AQ332">
        <v>2</v>
      </c>
      <c r="AR332">
        <v>4</v>
      </c>
      <c r="AS332">
        <v>5</v>
      </c>
      <c r="AT332">
        <v>2</v>
      </c>
      <c r="AU332" t="s">
        <v>109</v>
      </c>
      <c r="AV332">
        <v>8</v>
      </c>
      <c r="AW332">
        <v>8</v>
      </c>
    </row>
    <row r="333" spans="16:49" x14ac:dyDescent="0.25">
      <c r="P333">
        <v>332</v>
      </c>
      <c r="Q333" t="s">
        <v>68</v>
      </c>
      <c r="R333" t="s">
        <v>69</v>
      </c>
      <c r="S333">
        <v>17</v>
      </c>
      <c r="T333" t="s">
        <v>107</v>
      </c>
      <c r="U333" t="s">
        <v>71</v>
      </c>
      <c r="V333" t="s">
        <v>83</v>
      </c>
      <c r="W333" t="s">
        <v>90</v>
      </c>
      <c r="X333" t="s">
        <v>73</v>
      </c>
      <c r="Y333" t="s">
        <v>74</v>
      </c>
      <c r="Z333" t="s">
        <v>85</v>
      </c>
      <c r="AA333" t="s">
        <v>76</v>
      </c>
      <c r="AB333" t="s">
        <v>86</v>
      </c>
      <c r="AC333" t="s">
        <v>87</v>
      </c>
      <c r="AD333" t="s">
        <v>93</v>
      </c>
      <c r="AE333">
        <v>0</v>
      </c>
      <c r="AF333" t="s">
        <v>81</v>
      </c>
      <c r="AG333" t="s">
        <v>80</v>
      </c>
      <c r="AH333" t="s">
        <v>81</v>
      </c>
      <c r="AI333" t="s">
        <v>81</v>
      </c>
      <c r="AJ333" t="s">
        <v>80</v>
      </c>
      <c r="AK333" t="s">
        <v>80</v>
      </c>
      <c r="AL333" t="s">
        <v>80</v>
      </c>
      <c r="AM333" t="s">
        <v>80</v>
      </c>
      <c r="AN333">
        <v>4</v>
      </c>
      <c r="AO333">
        <v>4</v>
      </c>
      <c r="AP333">
        <v>3</v>
      </c>
      <c r="AQ333">
        <v>1</v>
      </c>
      <c r="AR333">
        <v>1</v>
      </c>
      <c r="AS333">
        <v>5</v>
      </c>
      <c r="AT333">
        <v>7</v>
      </c>
      <c r="AU333" t="s">
        <v>99</v>
      </c>
      <c r="AV333">
        <v>14</v>
      </c>
      <c r="AW333">
        <v>14</v>
      </c>
    </row>
    <row r="334" spans="16:49" x14ac:dyDescent="0.25">
      <c r="P334">
        <v>333</v>
      </c>
      <c r="Q334" t="s">
        <v>68</v>
      </c>
      <c r="R334" t="s">
        <v>69</v>
      </c>
      <c r="S334">
        <v>18</v>
      </c>
      <c r="T334" t="s">
        <v>70</v>
      </c>
      <c r="U334" t="s">
        <v>71</v>
      </c>
      <c r="V334" t="s">
        <v>83</v>
      </c>
      <c r="W334" t="s">
        <v>95</v>
      </c>
      <c r="X334" t="s">
        <v>95</v>
      </c>
      <c r="Y334" t="s">
        <v>91</v>
      </c>
      <c r="Z334" t="s">
        <v>91</v>
      </c>
      <c r="AA334" t="s">
        <v>92</v>
      </c>
      <c r="AB334" t="s">
        <v>77</v>
      </c>
      <c r="AC334" t="s">
        <v>87</v>
      </c>
      <c r="AD334" t="s">
        <v>79</v>
      </c>
      <c r="AE334">
        <v>0</v>
      </c>
      <c r="AF334" t="s">
        <v>81</v>
      </c>
      <c r="AG334" t="s">
        <v>81</v>
      </c>
      <c r="AH334" t="s">
        <v>81</v>
      </c>
      <c r="AI334" t="s">
        <v>80</v>
      </c>
      <c r="AJ334" t="s">
        <v>80</v>
      </c>
      <c r="AK334" t="s">
        <v>80</v>
      </c>
      <c r="AL334" t="s">
        <v>80</v>
      </c>
      <c r="AM334" t="s">
        <v>81</v>
      </c>
      <c r="AN334">
        <v>5</v>
      </c>
      <c r="AO334">
        <v>3</v>
      </c>
      <c r="AP334">
        <v>4</v>
      </c>
      <c r="AQ334">
        <v>1</v>
      </c>
      <c r="AR334">
        <v>1</v>
      </c>
      <c r="AS334">
        <v>4</v>
      </c>
      <c r="AT334">
        <v>0</v>
      </c>
      <c r="AU334" t="s">
        <v>89</v>
      </c>
      <c r="AV334">
        <v>0</v>
      </c>
      <c r="AW334">
        <v>0</v>
      </c>
    </row>
    <row r="335" spans="16:49" x14ac:dyDescent="0.25">
      <c r="P335">
        <v>334</v>
      </c>
      <c r="Q335" t="s">
        <v>68</v>
      </c>
      <c r="R335" t="s">
        <v>69</v>
      </c>
      <c r="S335">
        <v>18</v>
      </c>
      <c r="T335" t="s">
        <v>70</v>
      </c>
      <c r="U335" t="s">
        <v>88</v>
      </c>
      <c r="V335" t="s">
        <v>83</v>
      </c>
      <c r="W335" t="s">
        <v>90</v>
      </c>
      <c r="X335" t="s">
        <v>90</v>
      </c>
      <c r="Y335" t="s">
        <v>85</v>
      </c>
      <c r="Z335" t="s">
        <v>85</v>
      </c>
      <c r="AA335" t="s">
        <v>92</v>
      </c>
      <c r="AB335" t="s">
        <v>85</v>
      </c>
      <c r="AC335" t="s">
        <v>87</v>
      </c>
      <c r="AD335" t="s">
        <v>79</v>
      </c>
      <c r="AE335">
        <v>0</v>
      </c>
      <c r="AF335" t="s">
        <v>81</v>
      </c>
      <c r="AG335" t="s">
        <v>81</v>
      </c>
      <c r="AH335" t="s">
        <v>81</v>
      </c>
      <c r="AI335" t="s">
        <v>80</v>
      </c>
      <c r="AJ335" t="s">
        <v>81</v>
      </c>
      <c r="AK335" t="s">
        <v>80</v>
      </c>
      <c r="AL335" t="s">
        <v>80</v>
      </c>
      <c r="AM335" t="s">
        <v>80</v>
      </c>
      <c r="AN335">
        <v>4</v>
      </c>
      <c r="AO335">
        <v>3</v>
      </c>
      <c r="AP335">
        <v>3</v>
      </c>
      <c r="AQ335">
        <v>1</v>
      </c>
      <c r="AR335">
        <v>1</v>
      </c>
      <c r="AS335">
        <v>2</v>
      </c>
      <c r="AT335">
        <v>0</v>
      </c>
      <c r="AU335" t="s">
        <v>106</v>
      </c>
      <c r="AV335">
        <v>8</v>
      </c>
      <c r="AW335">
        <v>0</v>
      </c>
    </row>
    <row r="336" spans="16:49" x14ac:dyDescent="0.25">
      <c r="P336">
        <v>335</v>
      </c>
      <c r="Q336" t="s">
        <v>68</v>
      </c>
      <c r="R336" t="s">
        <v>69</v>
      </c>
      <c r="S336">
        <v>18</v>
      </c>
      <c r="T336" t="s">
        <v>107</v>
      </c>
      <c r="U336" t="s">
        <v>71</v>
      </c>
      <c r="V336" t="s">
        <v>83</v>
      </c>
      <c r="W336" t="s">
        <v>90</v>
      </c>
      <c r="X336" t="s">
        <v>90</v>
      </c>
      <c r="Y336" t="s">
        <v>74</v>
      </c>
      <c r="Z336" t="s">
        <v>85</v>
      </c>
      <c r="AA336" t="s">
        <v>76</v>
      </c>
      <c r="AB336" t="s">
        <v>77</v>
      </c>
      <c r="AC336" t="s">
        <v>78</v>
      </c>
      <c r="AD336" t="s">
        <v>112</v>
      </c>
      <c r="AE336">
        <v>0</v>
      </c>
      <c r="AF336" t="s">
        <v>81</v>
      </c>
      <c r="AG336" t="s">
        <v>81</v>
      </c>
      <c r="AH336" t="s">
        <v>81</v>
      </c>
      <c r="AI336" t="s">
        <v>80</v>
      </c>
      <c r="AJ336" t="s">
        <v>80</v>
      </c>
      <c r="AK336" t="s">
        <v>80</v>
      </c>
      <c r="AL336" t="s">
        <v>81</v>
      </c>
      <c r="AM336" t="s">
        <v>81</v>
      </c>
      <c r="AN336">
        <v>4</v>
      </c>
      <c r="AO336">
        <v>4</v>
      </c>
      <c r="AP336">
        <v>4</v>
      </c>
      <c r="AQ336">
        <v>1</v>
      </c>
      <c r="AR336">
        <v>1</v>
      </c>
      <c r="AS336">
        <v>4</v>
      </c>
      <c r="AT336">
        <v>0</v>
      </c>
      <c r="AU336" t="s">
        <v>102</v>
      </c>
      <c r="AV336">
        <v>9</v>
      </c>
      <c r="AW336">
        <v>0</v>
      </c>
    </row>
    <row r="337" spans="16:49" x14ac:dyDescent="0.25">
      <c r="P337">
        <v>336</v>
      </c>
      <c r="Q337" t="s">
        <v>68</v>
      </c>
      <c r="R337" t="s">
        <v>69</v>
      </c>
      <c r="S337">
        <v>17</v>
      </c>
      <c r="T337" t="s">
        <v>70</v>
      </c>
      <c r="U337" t="s">
        <v>71</v>
      </c>
      <c r="V337" t="s">
        <v>83</v>
      </c>
      <c r="W337" t="s">
        <v>95</v>
      </c>
      <c r="X337" t="s">
        <v>73</v>
      </c>
      <c r="Y337" t="s">
        <v>91</v>
      </c>
      <c r="Z337" t="s">
        <v>85</v>
      </c>
      <c r="AA337" t="s">
        <v>76</v>
      </c>
      <c r="AB337" t="s">
        <v>77</v>
      </c>
      <c r="AC337" t="s">
        <v>87</v>
      </c>
      <c r="AD337" t="s">
        <v>93</v>
      </c>
      <c r="AE337">
        <v>0</v>
      </c>
      <c r="AF337" t="s">
        <v>81</v>
      </c>
      <c r="AG337" t="s">
        <v>81</v>
      </c>
      <c r="AH337" t="s">
        <v>81</v>
      </c>
      <c r="AI337" t="s">
        <v>81</v>
      </c>
      <c r="AJ337" t="s">
        <v>80</v>
      </c>
      <c r="AK337" t="s">
        <v>80</v>
      </c>
      <c r="AL337" t="s">
        <v>80</v>
      </c>
      <c r="AM337" t="s">
        <v>81</v>
      </c>
      <c r="AN337">
        <v>4</v>
      </c>
      <c r="AO337">
        <v>4</v>
      </c>
      <c r="AP337">
        <v>5</v>
      </c>
      <c r="AQ337">
        <v>1</v>
      </c>
      <c r="AR337">
        <v>3</v>
      </c>
      <c r="AS337">
        <v>5</v>
      </c>
      <c r="AT337">
        <v>16</v>
      </c>
      <c r="AU337" t="s">
        <v>100</v>
      </c>
      <c r="AV337">
        <v>15</v>
      </c>
      <c r="AW337">
        <v>15</v>
      </c>
    </row>
    <row r="338" spans="16:49" x14ac:dyDescent="0.25">
      <c r="P338">
        <v>337</v>
      </c>
      <c r="Q338" t="s">
        <v>68</v>
      </c>
      <c r="R338" t="s">
        <v>69</v>
      </c>
      <c r="S338">
        <v>19</v>
      </c>
      <c r="T338" t="s">
        <v>107</v>
      </c>
      <c r="U338" t="s">
        <v>71</v>
      </c>
      <c r="V338" t="s">
        <v>72</v>
      </c>
      <c r="W338" t="s">
        <v>95</v>
      </c>
      <c r="X338" t="s">
        <v>84</v>
      </c>
      <c r="Y338" t="s">
        <v>91</v>
      </c>
      <c r="Z338" t="s">
        <v>74</v>
      </c>
      <c r="AA338" t="s">
        <v>92</v>
      </c>
      <c r="AB338" t="s">
        <v>85</v>
      </c>
      <c r="AC338" t="s">
        <v>87</v>
      </c>
      <c r="AD338" t="s">
        <v>93</v>
      </c>
      <c r="AE338">
        <v>1</v>
      </c>
      <c r="AF338" t="s">
        <v>81</v>
      </c>
      <c r="AG338" t="s">
        <v>81</v>
      </c>
      <c r="AH338" t="s">
        <v>80</v>
      </c>
      <c r="AI338" t="s">
        <v>81</v>
      </c>
      <c r="AJ338" t="s">
        <v>80</v>
      </c>
      <c r="AK338" t="s">
        <v>80</v>
      </c>
      <c r="AL338" t="s">
        <v>81</v>
      </c>
      <c r="AM338" t="s">
        <v>81</v>
      </c>
      <c r="AN338">
        <v>5</v>
      </c>
      <c r="AO338">
        <v>4</v>
      </c>
      <c r="AP338">
        <v>3</v>
      </c>
      <c r="AQ338">
        <v>1</v>
      </c>
      <c r="AR338">
        <v>2</v>
      </c>
      <c r="AS338">
        <v>5</v>
      </c>
      <c r="AT338">
        <v>12</v>
      </c>
      <c r="AU338" t="s">
        <v>101</v>
      </c>
      <c r="AV338">
        <v>13</v>
      </c>
      <c r="AW338">
        <v>13</v>
      </c>
    </row>
    <row r="339" spans="16:49" x14ac:dyDescent="0.25">
      <c r="P339">
        <v>338</v>
      </c>
      <c r="Q339" t="s">
        <v>68</v>
      </c>
      <c r="R339" t="s">
        <v>69</v>
      </c>
      <c r="S339">
        <v>17</v>
      </c>
      <c r="T339" t="s">
        <v>70</v>
      </c>
      <c r="U339" t="s">
        <v>71</v>
      </c>
      <c r="V339" t="s">
        <v>83</v>
      </c>
      <c r="W339" t="s">
        <v>95</v>
      </c>
      <c r="X339" t="s">
        <v>90</v>
      </c>
      <c r="Y339" t="s">
        <v>85</v>
      </c>
      <c r="Z339" t="s">
        <v>85</v>
      </c>
      <c r="AA339" t="s">
        <v>92</v>
      </c>
      <c r="AB339" t="s">
        <v>77</v>
      </c>
      <c r="AC339" t="s">
        <v>87</v>
      </c>
      <c r="AD339" t="s">
        <v>79</v>
      </c>
      <c r="AE339">
        <v>0</v>
      </c>
      <c r="AF339" t="s">
        <v>81</v>
      </c>
      <c r="AG339" t="s">
        <v>80</v>
      </c>
      <c r="AH339" t="s">
        <v>80</v>
      </c>
      <c r="AI339" t="s">
        <v>81</v>
      </c>
      <c r="AJ339" t="s">
        <v>80</v>
      </c>
      <c r="AK339" t="s">
        <v>80</v>
      </c>
      <c r="AL339" t="s">
        <v>80</v>
      </c>
      <c r="AM339" t="s">
        <v>80</v>
      </c>
      <c r="AN339">
        <v>4</v>
      </c>
      <c r="AO339">
        <v>3</v>
      </c>
      <c r="AP339">
        <v>2</v>
      </c>
      <c r="AQ339">
        <v>2</v>
      </c>
      <c r="AR339">
        <v>3</v>
      </c>
      <c r="AS339">
        <v>2</v>
      </c>
      <c r="AT339">
        <v>0</v>
      </c>
      <c r="AU339" t="s">
        <v>89</v>
      </c>
      <c r="AV339">
        <v>8</v>
      </c>
      <c r="AW339">
        <v>0</v>
      </c>
    </row>
    <row r="340" spans="16:49" x14ac:dyDescent="0.25">
      <c r="P340">
        <v>339</v>
      </c>
      <c r="Q340" t="s">
        <v>68</v>
      </c>
      <c r="R340" t="s">
        <v>69</v>
      </c>
      <c r="S340">
        <v>18</v>
      </c>
      <c r="T340" t="s">
        <v>70</v>
      </c>
      <c r="U340" t="s">
        <v>88</v>
      </c>
      <c r="V340" t="s">
        <v>83</v>
      </c>
      <c r="W340" t="s">
        <v>95</v>
      </c>
      <c r="X340" t="s">
        <v>95</v>
      </c>
      <c r="Y340" t="s">
        <v>91</v>
      </c>
      <c r="Z340" t="s">
        <v>91</v>
      </c>
      <c r="AA340" t="s">
        <v>92</v>
      </c>
      <c r="AB340" t="s">
        <v>77</v>
      </c>
      <c r="AC340" t="s">
        <v>87</v>
      </c>
      <c r="AD340" t="s">
        <v>112</v>
      </c>
      <c r="AE340">
        <v>0</v>
      </c>
      <c r="AF340" t="s">
        <v>81</v>
      </c>
      <c r="AG340" t="s">
        <v>80</v>
      </c>
      <c r="AH340" t="s">
        <v>81</v>
      </c>
      <c r="AI340" t="s">
        <v>81</v>
      </c>
      <c r="AJ340" t="s">
        <v>80</v>
      </c>
      <c r="AK340" t="s">
        <v>80</v>
      </c>
      <c r="AL340" t="s">
        <v>80</v>
      </c>
      <c r="AM340" t="s">
        <v>81</v>
      </c>
      <c r="AN340">
        <v>5</v>
      </c>
      <c r="AO340">
        <v>3</v>
      </c>
      <c r="AP340">
        <v>3</v>
      </c>
      <c r="AQ340">
        <v>1</v>
      </c>
      <c r="AR340">
        <v>1</v>
      </c>
      <c r="AS340">
        <v>1</v>
      </c>
      <c r="AT340">
        <v>7</v>
      </c>
      <c r="AU340" t="s">
        <v>100</v>
      </c>
      <c r="AV340">
        <v>15</v>
      </c>
      <c r="AW340">
        <v>17</v>
      </c>
    </row>
    <row r="341" spans="16:49" x14ac:dyDescent="0.25">
      <c r="P341">
        <v>340</v>
      </c>
      <c r="Q341" t="s">
        <v>68</v>
      </c>
      <c r="R341" t="s">
        <v>69</v>
      </c>
      <c r="S341">
        <v>17</v>
      </c>
      <c r="T341" t="s">
        <v>107</v>
      </c>
      <c r="U341" t="s">
        <v>71</v>
      </c>
      <c r="V341" t="s">
        <v>72</v>
      </c>
      <c r="W341" t="s">
        <v>95</v>
      </c>
      <c r="X341" t="s">
        <v>90</v>
      </c>
      <c r="Y341" t="s">
        <v>85</v>
      </c>
      <c r="Z341" t="s">
        <v>85</v>
      </c>
      <c r="AA341" t="s">
        <v>92</v>
      </c>
      <c r="AB341" t="s">
        <v>77</v>
      </c>
      <c r="AC341" t="s">
        <v>87</v>
      </c>
      <c r="AD341" t="s">
        <v>79</v>
      </c>
      <c r="AE341">
        <v>0</v>
      </c>
      <c r="AF341" t="s">
        <v>81</v>
      </c>
      <c r="AG341" t="s">
        <v>80</v>
      </c>
      <c r="AH341" t="s">
        <v>80</v>
      </c>
      <c r="AI341" t="s">
        <v>81</v>
      </c>
      <c r="AJ341" t="s">
        <v>80</v>
      </c>
      <c r="AK341" t="s">
        <v>80</v>
      </c>
      <c r="AL341" t="s">
        <v>80</v>
      </c>
      <c r="AM341" t="s">
        <v>81</v>
      </c>
      <c r="AN341">
        <v>4</v>
      </c>
      <c r="AO341">
        <v>3</v>
      </c>
      <c r="AP341">
        <v>3</v>
      </c>
      <c r="AQ341">
        <v>2</v>
      </c>
      <c r="AR341">
        <v>3</v>
      </c>
      <c r="AS341">
        <v>2</v>
      </c>
      <c r="AT341">
        <v>4</v>
      </c>
      <c r="AU341" t="s">
        <v>109</v>
      </c>
      <c r="AV341">
        <v>10</v>
      </c>
      <c r="AW341">
        <v>10</v>
      </c>
    </row>
    <row r="342" spans="16:49" x14ac:dyDescent="0.25">
      <c r="P342">
        <v>341</v>
      </c>
      <c r="Q342" t="s">
        <v>68</v>
      </c>
      <c r="R342" t="s">
        <v>69</v>
      </c>
      <c r="S342">
        <v>19</v>
      </c>
      <c r="T342" t="s">
        <v>70</v>
      </c>
      <c r="U342" t="s">
        <v>71</v>
      </c>
      <c r="V342" t="s">
        <v>83</v>
      </c>
      <c r="W342" t="s">
        <v>90</v>
      </c>
      <c r="X342" t="s">
        <v>84</v>
      </c>
      <c r="Y342" t="s">
        <v>91</v>
      </c>
      <c r="Z342" t="s">
        <v>91</v>
      </c>
      <c r="AA342" t="s">
        <v>92</v>
      </c>
      <c r="AB342" t="s">
        <v>85</v>
      </c>
      <c r="AC342" t="s">
        <v>87</v>
      </c>
      <c r="AD342" t="s">
        <v>93</v>
      </c>
      <c r="AE342">
        <v>1</v>
      </c>
      <c r="AF342" t="s">
        <v>81</v>
      </c>
      <c r="AG342" t="s">
        <v>81</v>
      </c>
      <c r="AH342" t="s">
        <v>80</v>
      </c>
      <c r="AI342" t="s">
        <v>80</v>
      </c>
      <c r="AJ342" t="s">
        <v>80</v>
      </c>
      <c r="AK342" t="s">
        <v>80</v>
      </c>
      <c r="AL342" t="s">
        <v>80</v>
      </c>
      <c r="AM342" t="s">
        <v>80</v>
      </c>
      <c r="AN342">
        <v>4</v>
      </c>
      <c r="AO342">
        <v>3</v>
      </c>
      <c r="AP342">
        <v>4</v>
      </c>
      <c r="AQ342">
        <v>1</v>
      </c>
      <c r="AR342">
        <v>3</v>
      </c>
      <c r="AS342">
        <v>3</v>
      </c>
      <c r="AT342">
        <v>4</v>
      </c>
      <c r="AU342" t="s">
        <v>108</v>
      </c>
      <c r="AV342">
        <v>12</v>
      </c>
      <c r="AW342">
        <v>11</v>
      </c>
    </row>
    <row r="343" spans="16:49" x14ac:dyDescent="0.25">
      <c r="P343">
        <v>342</v>
      </c>
      <c r="Q343" t="s">
        <v>68</v>
      </c>
      <c r="R343" t="s">
        <v>97</v>
      </c>
      <c r="S343">
        <v>18</v>
      </c>
      <c r="T343" t="s">
        <v>70</v>
      </c>
      <c r="U343" t="s">
        <v>71</v>
      </c>
      <c r="V343" t="s">
        <v>83</v>
      </c>
      <c r="W343" t="s">
        <v>73</v>
      </c>
      <c r="X343" t="s">
        <v>73</v>
      </c>
      <c r="Y343" t="s">
        <v>75</v>
      </c>
      <c r="Z343" t="s">
        <v>91</v>
      </c>
      <c r="AA343" t="s">
        <v>92</v>
      </c>
      <c r="AB343" t="s">
        <v>86</v>
      </c>
      <c r="AC343" t="s">
        <v>87</v>
      </c>
      <c r="AD343" t="s">
        <v>79</v>
      </c>
      <c r="AE343">
        <v>1</v>
      </c>
      <c r="AF343" t="s">
        <v>81</v>
      </c>
      <c r="AG343" t="s">
        <v>80</v>
      </c>
      <c r="AH343" t="s">
        <v>81</v>
      </c>
      <c r="AI343" t="s">
        <v>80</v>
      </c>
      <c r="AJ343" t="s">
        <v>80</v>
      </c>
      <c r="AK343" t="s">
        <v>80</v>
      </c>
      <c r="AL343" t="s">
        <v>80</v>
      </c>
      <c r="AM343" t="s">
        <v>81</v>
      </c>
      <c r="AN343">
        <v>4</v>
      </c>
      <c r="AO343">
        <v>3</v>
      </c>
      <c r="AP343">
        <v>3</v>
      </c>
      <c r="AQ343">
        <v>2</v>
      </c>
      <c r="AR343">
        <v>2</v>
      </c>
      <c r="AS343">
        <v>2</v>
      </c>
      <c r="AT343">
        <v>0</v>
      </c>
      <c r="AU343" t="s">
        <v>102</v>
      </c>
      <c r="AV343">
        <v>10</v>
      </c>
      <c r="AW343">
        <v>0</v>
      </c>
    </row>
    <row r="344" spans="16:49" x14ac:dyDescent="0.25">
      <c r="P344">
        <v>343</v>
      </c>
      <c r="Q344" t="s">
        <v>68</v>
      </c>
      <c r="R344" t="s">
        <v>97</v>
      </c>
      <c r="S344">
        <v>18</v>
      </c>
      <c r="T344" t="s">
        <v>70</v>
      </c>
      <c r="U344" t="s">
        <v>88</v>
      </c>
      <c r="V344" t="s">
        <v>83</v>
      </c>
      <c r="W344" t="s">
        <v>95</v>
      </c>
      <c r="X344" t="s">
        <v>73</v>
      </c>
      <c r="Y344" t="s">
        <v>91</v>
      </c>
      <c r="Z344" t="s">
        <v>85</v>
      </c>
      <c r="AA344" t="s">
        <v>92</v>
      </c>
      <c r="AB344" t="s">
        <v>77</v>
      </c>
      <c r="AC344" t="s">
        <v>87</v>
      </c>
      <c r="AD344" t="s">
        <v>79</v>
      </c>
      <c r="AE344">
        <v>0</v>
      </c>
      <c r="AF344" t="s">
        <v>81</v>
      </c>
      <c r="AG344" t="s">
        <v>81</v>
      </c>
      <c r="AH344" t="s">
        <v>81</v>
      </c>
      <c r="AI344" t="s">
        <v>80</v>
      </c>
      <c r="AJ344" t="s">
        <v>80</v>
      </c>
      <c r="AK344" t="s">
        <v>80</v>
      </c>
      <c r="AL344" t="s">
        <v>80</v>
      </c>
      <c r="AM344" t="s">
        <v>80</v>
      </c>
      <c r="AN344">
        <v>4</v>
      </c>
      <c r="AO344">
        <v>3</v>
      </c>
      <c r="AP344">
        <v>3</v>
      </c>
      <c r="AQ344">
        <v>1</v>
      </c>
      <c r="AR344">
        <v>3</v>
      </c>
      <c r="AS344">
        <v>5</v>
      </c>
      <c r="AT344">
        <v>11</v>
      </c>
      <c r="AU344" t="s">
        <v>100</v>
      </c>
      <c r="AV344">
        <v>15</v>
      </c>
      <c r="AW344">
        <v>15</v>
      </c>
    </row>
    <row r="345" spans="16:49" x14ac:dyDescent="0.25">
      <c r="P345">
        <v>344</v>
      </c>
      <c r="Q345" t="s">
        <v>68</v>
      </c>
      <c r="R345" t="s">
        <v>69</v>
      </c>
      <c r="S345">
        <v>17</v>
      </c>
      <c r="T345" t="s">
        <v>70</v>
      </c>
      <c r="U345" t="s">
        <v>71</v>
      </c>
      <c r="V345" t="s">
        <v>72</v>
      </c>
      <c r="W345" t="s">
        <v>90</v>
      </c>
      <c r="X345" t="s">
        <v>90</v>
      </c>
      <c r="Y345" t="s">
        <v>74</v>
      </c>
      <c r="Z345" t="s">
        <v>74</v>
      </c>
      <c r="AA345" t="s">
        <v>92</v>
      </c>
      <c r="AB345" t="s">
        <v>86</v>
      </c>
      <c r="AC345" t="s">
        <v>87</v>
      </c>
      <c r="AD345" t="s">
        <v>79</v>
      </c>
      <c r="AE345">
        <v>1</v>
      </c>
      <c r="AF345" t="s">
        <v>81</v>
      </c>
      <c r="AG345" t="s">
        <v>80</v>
      </c>
      <c r="AH345" t="s">
        <v>81</v>
      </c>
      <c r="AI345" t="s">
        <v>81</v>
      </c>
      <c r="AJ345" t="s">
        <v>80</v>
      </c>
      <c r="AK345" t="s">
        <v>80</v>
      </c>
      <c r="AL345" t="s">
        <v>80</v>
      </c>
      <c r="AM345" t="s">
        <v>80</v>
      </c>
      <c r="AN345">
        <v>3</v>
      </c>
      <c r="AO345">
        <v>3</v>
      </c>
      <c r="AP345">
        <v>1</v>
      </c>
      <c r="AQ345">
        <v>1</v>
      </c>
      <c r="AR345">
        <v>2</v>
      </c>
      <c r="AS345">
        <v>4</v>
      </c>
      <c r="AT345">
        <v>0</v>
      </c>
      <c r="AU345" t="s">
        <v>109</v>
      </c>
      <c r="AV345">
        <v>8</v>
      </c>
      <c r="AW345">
        <v>0</v>
      </c>
    </row>
    <row r="346" spans="16:49" x14ac:dyDescent="0.25">
      <c r="P346">
        <v>345</v>
      </c>
      <c r="Q346" t="s">
        <v>68</v>
      </c>
      <c r="R346" t="s">
        <v>69</v>
      </c>
      <c r="S346">
        <v>18</v>
      </c>
      <c r="T346" t="s">
        <v>70</v>
      </c>
      <c r="U346" t="s">
        <v>71</v>
      </c>
      <c r="V346" t="s">
        <v>83</v>
      </c>
      <c r="W346" t="s">
        <v>90</v>
      </c>
      <c r="X346" t="s">
        <v>95</v>
      </c>
      <c r="Y346" t="s">
        <v>74</v>
      </c>
      <c r="Z346" t="s">
        <v>85</v>
      </c>
      <c r="AA346" t="s">
        <v>76</v>
      </c>
      <c r="AB346" t="s">
        <v>77</v>
      </c>
      <c r="AC346" t="s">
        <v>87</v>
      </c>
      <c r="AD346" t="s">
        <v>93</v>
      </c>
      <c r="AE346">
        <v>0</v>
      </c>
      <c r="AF346" t="s">
        <v>81</v>
      </c>
      <c r="AG346" t="s">
        <v>80</v>
      </c>
      <c r="AH346" t="s">
        <v>81</v>
      </c>
      <c r="AI346" t="s">
        <v>81</v>
      </c>
      <c r="AJ346" t="s">
        <v>80</v>
      </c>
      <c r="AK346" t="s">
        <v>80</v>
      </c>
      <c r="AL346" t="s">
        <v>80</v>
      </c>
      <c r="AM346" t="s">
        <v>81</v>
      </c>
      <c r="AN346">
        <v>4</v>
      </c>
      <c r="AO346">
        <v>3</v>
      </c>
      <c r="AP346">
        <v>3</v>
      </c>
      <c r="AQ346">
        <v>1</v>
      </c>
      <c r="AR346">
        <v>2</v>
      </c>
      <c r="AS346">
        <v>3</v>
      </c>
      <c r="AT346">
        <v>4</v>
      </c>
      <c r="AU346" t="s">
        <v>108</v>
      </c>
      <c r="AV346">
        <v>10</v>
      </c>
      <c r="AW346">
        <v>10</v>
      </c>
    </row>
    <row r="347" spans="16:49" x14ac:dyDescent="0.25">
      <c r="P347">
        <v>346</v>
      </c>
      <c r="Q347" t="s">
        <v>68</v>
      </c>
      <c r="R347" t="s">
        <v>69</v>
      </c>
      <c r="S347">
        <v>18</v>
      </c>
      <c r="T347" t="s">
        <v>70</v>
      </c>
      <c r="U347" t="s">
        <v>71</v>
      </c>
      <c r="V347" t="s">
        <v>83</v>
      </c>
      <c r="W347" t="s">
        <v>95</v>
      </c>
      <c r="X347" t="s">
        <v>90</v>
      </c>
      <c r="Y347" t="s">
        <v>85</v>
      </c>
      <c r="Z347" t="s">
        <v>91</v>
      </c>
      <c r="AA347" t="s">
        <v>85</v>
      </c>
      <c r="AB347" t="s">
        <v>77</v>
      </c>
      <c r="AC347" t="s">
        <v>87</v>
      </c>
      <c r="AD347" t="s">
        <v>93</v>
      </c>
      <c r="AE347">
        <v>0</v>
      </c>
      <c r="AF347" t="s">
        <v>81</v>
      </c>
      <c r="AG347" t="s">
        <v>81</v>
      </c>
      <c r="AH347" t="s">
        <v>81</v>
      </c>
      <c r="AI347" t="s">
        <v>81</v>
      </c>
      <c r="AJ347" t="s">
        <v>80</v>
      </c>
      <c r="AK347" t="s">
        <v>80</v>
      </c>
      <c r="AL347" t="s">
        <v>80</v>
      </c>
      <c r="AM347" t="s">
        <v>80</v>
      </c>
      <c r="AN347">
        <v>5</v>
      </c>
      <c r="AO347">
        <v>4</v>
      </c>
      <c r="AP347">
        <v>3</v>
      </c>
      <c r="AQ347">
        <v>2</v>
      </c>
      <c r="AR347">
        <v>3</v>
      </c>
      <c r="AS347">
        <v>1</v>
      </c>
      <c r="AT347">
        <v>7</v>
      </c>
      <c r="AU347" t="s">
        <v>105</v>
      </c>
      <c r="AV347">
        <v>13</v>
      </c>
      <c r="AW347">
        <v>14</v>
      </c>
    </row>
    <row r="348" spans="16:49" x14ac:dyDescent="0.25">
      <c r="P348">
        <v>347</v>
      </c>
      <c r="Q348" t="s">
        <v>68</v>
      </c>
      <c r="R348" t="s">
        <v>97</v>
      </c>
      <c r="S348">
        <v>18</v>
      </c>
      <c r="T348" t="s">
        <v>107</v>
      </c>
      <c r="U348" t="s">
        <v>71</v>
      </c>
      <c r="V348" t="s">
        <v>83</v>
      </c>
      <c r="W348" t="s">
        <v>73</v>
      </c>
      <c r="X348" t="s">
        <v>95</v>
      </c>
      <c r="Y348" t="s">
        <v>75</v>
      </c>
      <c r="Z348" t="s">
        <v>91</v>
      </c>
      <c r="AA348" t="s">
        <v>76</v>
      </c>
      <c r="AB348" t="s">
        <v>77</v>
      </c>
      <c r="AC348" t="s">
        <v>87</v>
      </c>
      <c r="AD348" t="s">
        <v>93</v>
      </c>
      <c r="AE348">
        <v>0</v>
      </c>
      <c r="AF348" t="s">
        <v>81</v>
      </c>
      <c r="AG348" t="s">
        <v>81</v>
      </c>
      <c r="AH348" t="s">
        <v>81</v>
      </c>
      <c r="AI348" t="s">
        <v>81</v>
      </c>
      <c r="AJ348" t="s">
        <v>80</v>
      </c>
      <c r="AK348" t="s">
        <v>80</v>
      </c>
      <c r="AL348" t="s">
        <v>80</v>
      </c>
      <c r="AM348" t="s">
        <v>80</v>
      </c>
      <c r="AN348">
        <v>5</v>
      </c>
      <c r="AO348">
        <v>3</v>
      </c>
      <c r="AP348">
        <v>2</v>
      </c>
      <c r="AQ348">
        <v>1</v>
      </c>
      <c r="AR348">
        <v>2</v>
      </c>
      <c r="AS348">
        <v>4</v>
      </c>
      <c r="AT348">
        <v>9</v>
      </c>
      <c r="AU348" t="s">
        <v>100</v>
      </c>
      <c r="AV348">
        <v>15</v>
      </c>
      <c r="AW348">
        <v>16</v>
      </c>
    </row>
    <row r="349" spans="16:49" x14ac:dyDescent="0.25">
      <c r="P349">
        <v>348</v>
      </c>
      <c r="Q349" t="s">
        <v>68</v>
      </c>
      <c r="R349" t="s">
        <v>97</v>
      </c>
      <c r="S349">
        <v>18</v>
      </c>
      <c r="T349" t="s">
        <v>70</v>
      </c>
      <c r="U349" t="s">
        <v>71</v>
      </c>
      <c r="V349" t="s">
        <v>83</v>
      </c>
      <c r="W349" t="s">
        <v>73</v>
      </c>
      <c r="X349" t="s">
        <v>95</v>
      </c>
      <c r="Y349" t="s">
        <v>75</v>
      </c>
      <c r="Z349" t="s">
        <v>85</v>
      </c>
      <c r="AA349" t="s">
        <v>76</v>
      </c>
      <c r="AB349" t="s">
        <v>77</v>
      </c>
      <c r="AC349" t="s">
        <v>87</v>
      </c>
      <c r="AD349" t="s">
        <v>93</v>
      </c>
      <c r="AE349">
        <v>0</v>
      </c>
      <c r="AF349" t="s">
        <v>81</v>
      </c>
      <c r="AG349" t="s">
        <v>80</v>
      </c>
      <c r="AH349" t="s">
        <v>80</v>
      </c>
      <c r="AI349" t="s">
        <v>81</v>
      </c>
      <c r="AJ349" t="s">
        <v>80</v>
      </c>
      <c r="AK349" t="s">
        <v>80</v>
      </c>
      <c r="AL349" t="s">
        <v>80</v>
      </c>
      <c r="AM349" t="s">
        <v>80</v>
      </c>
      <c r="AN349">
        <v>5</v>
      </c>
      <c r="AO349">
        <v>4</v>
      </c>
      <c r="AP349">
        <v>5</v>
      </c>
      <c r="AQ349">
        <v>2</v>
      </c>
      <c r="AR349">
        <v>3</v>
      </c>
      <c r="AS349">
        <v>5</v>
      </c>
      <c r="AT349">
        <v>0</v>
      </c>
      <c r="AU349" t="s">
        <v>102</v>
      </c>
      <c r="AV349">
        <v>10</v>
      </c>
      <c r="AW349">
        <v>9</v>
      </c>
    </row>
    <row r="350" spans="16:49" x14ac:dyDescent="0.25">
      <c r="P350">
        <v>349</v>
      </c>
      <c r="Q350" t="s">
        <v>68</v>
      </c>
      <c r="R350" t="s">
        <v>69</v>
      </c>
      <c r="S350">
        <v>17</v>
      </c>
      <c r="T350" t="s">
        <v>70</v>
      </c>
      <c r="U350" t="s">
        <v>71</v>
      </c>
      <c r="V350" t="s">
        <v>83</v>
      </c>
      <c r="W350" t="s">
        <v>73</v>
      </c>
      <c r="X350" t="s">
        <v>95</v>
      </c>
      <c r="Y350" t="s">
        <v>63</v>
      </c>
      <c r="Z350" t="s">
        <v>85</v>
      </c>
      <c r="AA350" t="s">
        <v>98</v>
      </c>
      <c r="AB350" t="s">
        <v>77</v>
      </c>
      <c r="AC350" t="s">
        <v>87</v>
      </c>
      <c r="AD350" t="s">
        <v>93</v>
      </c>
      <c r="AE350">
        <v>0</v>
      </c>
      <c r="AF350" t="s">
        <v>81</v>
      </c>
      <c r="AG350" t="s">
        <v>80</v>
      </c>
      <c r="AH350" t="s">
        <v>80</v>
      </c>
      <c r="AI350" t="s">
        <v>80</v>
      </c>
      <c r="AJ350" t="s">
        <v>80</v>
      </c>
      <c r="AK350" t="s">
        <v>80</v>
      </c>
      <c r="AL350" t="s">
        <v>80</v>
      </c>
      <c r="AM350" t="s">
        <v>80</v>
      </c>
      <c r="AN350">
        <v>4</v>
      </c>
      <c r="AO350">
        <v>4</v>
      </c>
      <c r="AP350">
        <v>3</v>
      </c>
      <c r="AQ350">
        <v>1</v>
      </c>
      <c r="AR350">
        <v>3</v>
      </c>
      <c r="AS350">
        <v>4</v>
      </c>
      <c r="AT350">
        <v>0</v>
      </c>
      <c r="AU350" t="s">
        <v>105</v>
      </c>
      <c r="AV350">
        <v>15</v>
      </c>
      <c r="AW350">
        <v>15</v>
      </c>
    </row>
    <row r="351" spans="16:49" x14ac:dyDescent="0.25">
      <c r="P351">
        <v>350</v>
      </c>
      <c r="Q351" t="s">
        <v>118</v>
      </c>
      <c r="R351" t="s">
        <v>97</v>
      </c>
      <c r="S351">
        <v>18</v>
      </c>
      <c r="T351" t="s">
        <v>107</v>
      </c>
      <c r="U351" t="s">
        <v>71</v>
      </c>
      <c r="V351" t="s">
        <v>83</v>
      </c>
      <c r="W351" t="s">
        <v>95</v>
      </c>
      <c r="X351" t="s">
        <v>90</v>
      </c>
      <c r="Y351" t="s">
        <v>85</v>
      </c>
      <c r="Z351" t="s">
        <v>85</v>
      </c>
      <c r="AA351" t="s">
        <v>76</v>
      </c>
      <c r="AB351" t="s">
        <v>77</v>
      </c>
      <c r="AC351" t="s">
        <v>78</v>
      </c>
      <c r="AD351" t="s">
        <v>104</v>
      </c>
      <c r="AE351">
        <v>1</v>
      </c>
      <c r="AF351" t="s">
        <v>81</v>
      </c>
      <c r="AG351" t="s">
        <v>80</v>
      </c>
      <c r="AH351" t="s">
        <v>81</v>
      </c>
      <c r="AI351" t="s">
        <v>81</v>
      </c>
      <c r="AJ351" t="s">
        <v>81</v>
      </c>
      <c r="AK351" t="s">
        <v>80</v>
      </c>
      <c r="AL351" t="s">
        <v>80</v>
      </c>
      <c r="AM351" t="s">
        <v>81</v>
      </c>
      <c r="AN351">
        <v>2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10</v>
      </c>
      <c r="AU351" t="s">
        <v>108</v>
      </c>
      <c r="AV351">
        <v>13</v>
      </c>
      <c r="AW351">
        <v>13</v>
      </c>
    </row>
    <row r="352" spans="16:49" x14ac:dyDescent="0.25">
      <c r="P352">
        <v>351</v>
      </c>
      <c r="Q352" t="s">
        <v>118</v>
      </c>
      <c r="R352" t="s">
        <v>97</v>
      </c>
      <c r="S352">
        <v>19</v>
      </c>
      <c r="T352" t="s">
        <v>107</v>
      </c>
      <c r="U352" t="s">
        <v>71</v>
      </c>
      <c r="V352" t="s">
        <v>83</v>
      </c>
      <c r="W352" t="s">
        <v>84</v>
      </c>
      <c r="X352" t="s">
        <v>84</v>
      </c>
      <c r="Y352" t="s">
        <v>85</v>
      </c>
      <c r="Z352" t="s">
        <v>91</v>
      </c>
      <c r="AA352" t="s">
        <v>92</v>
      </c>
      <c r="AB352" t="s">
        <v>85</v>
      </c>
      <c r="AC352" t="s">
        <v>103</v>
      </c>
      <c r="AD352" t="s">
        <v>79</v>
      </c>
      <c r="AE352">
        <v>3</v>
      </c>
      <c r="AF352" t="s">
        <v>81</v>
      </c>
      <c r="AG352" t="s">
        <v>81</v>
      </c>
      <c r="AH352" t="s">
        <v>81</v>
      </c>
      <c r="AI352" t="s">
        <v>81</v>
      </c>
      <c r="AJ352" t="s">
        <v>80</v>
      </c>
      <c r="AK352" t="s">
        <v>80</v>
      </c>
      <c r="AL352" t="s">
        <v>80</v>
      </c>
      <c r="AM352" t="s">
        <v>81</v>
      </c>
      <c r="AN352">
        <v>5</v>
      </c>
      <c r="AO352">
        <v>4</v>
      </c>
      <c r="AP352">
        <v>4</v>
      </c>
      <c r="AQ352">
        <v>3</v>
      </c>
      <c r="AR352">
        <v>3</v>
      </c>
      <c r="AS352">
        <v>2</v>
      </c>
      <c r="AT352">
        <v>8</v>
      </c>
      <c r="AU352" t="s">
        <v>106</v>
      </c>
      <c r="AV352">
        <v>7</v>
      </c>
      <c r="AW352">
        <v>8</v>
      </c>
    </row>
    <row r="353" spans="16:49" x14ac:dyDescent="0.25">
      <c r="P353">
        <v>352</v>
      </c>
      <c r="Q353" t="s">
        <v>118</v>
      </c>
      <c r="R353" t="s">
        <v>97</v>
      </c>
      <c r="S353">
        <v>17</v>
      </c>
      <c r="T353" t="s">
        <v>70</v>
      </c>
      <c r="U353" t="s">
        <v>71</v>
      </c>
      <c r="V353" t="s">
        <v>83</v>
      </c>
      <c r="W353" t="s">
        <v>95</v>
      </c>
      <c r="X353" t="s">
        <v>95</v>
      </c>
      <c r="Y353" t="s">
        <v>63</v>
      </c>
      <c r="Z353" t="s">
        <v>85</v>
      </c>
      <c r="AA353" t="s">
        <v>76</v>
      </c>
      <c r="AB353" t="s">
        <v>77</v>
      </c>
      <c r="AC353" t="s">
        <v>78</v>
      </c>
      <c r="AD353" t="s">
        <v>79</v>
      </c>
      <c r="AE353">
        <v>0</v>
      </c>
      <c r="AF353" t="s">
        <v>81</v>
      </c>
      <c r="AG353" t="s">
        <v>80</v>
      </c>
      <c r="AH353" t="s">
        <v>80</v>
      </c>
      <c r="AI353" t="s">
        <v>81</v>
      </c>
      <c r="AJ353" t="s">
        <v>80</v>
      </c>
      <c r="AK353" t="s">
        <v>80</v>
      </c>
      <c r="AL353" t="s">
        <v>80</v>
      </c>
      <c r="AM353" t="s">
        <v>81</v>
      </c>
      <c r="AN353">
        <v>4</v>
      </c>
      <c r="AO353">
        <v>5</v>
      </c>
      <c r="AP353">
        <v>4</v>
      </c>
      <c r="AQ353">
        <v>2</v>
      </c>
      <c r="AR353">
        <v>3</v>
      </c>
      <c r="AS353">
        <v>3</v>
      </c>
      <c r="AT353">
        <v>2</v>
      </c>
      <c r="AU353" t="s">
        <v>105</v>
      </c>
      <c r="AV353">
        <v>13</v>
      </c>
      <c r="AW353">
        <v>13</v>
      </c>
    </row>
    <row r="354" spans="16:49" x14ac:dyDescent="0.25">
      <c r="P354">
        <v>353</v>
      </c>
      <c r="Q354" t="s">
        <v>118</v>
      </c>
      <c r="R354" t="s">
        <v>97</v>
      </c>
      <c r="S354">
        <v>18</v>
      </c>
      <c r="T354" t="s">
        <v>70</v>
      </c>
      <c r="U354" t="s">
        <v>88</v>
      </c>
      <c r="V354" t="s">
        <v>83</v>
      </c>
      <c r="W354" t="s">
        <v>84</v>
      </c>
      <c r="X354" t="s">
        <v>95</v>
      </c>
      <c r="Y354" t="s">
        <v>74</v>
      </c>
      <c r="Z354" t="s">
        <v>91</v>
      </c>
      <c r="AA354" t="s">
        <v>76</v>
      </c>
      <c r="AB354" t="s">
        <v>77</v>
      </c>
      <c r="AC354" t="s">
        <v>87</v>
      </c>
      <c r="AD354" t="s">
        <v>104</v>
      </c>
      <c r="AE354">
        <v>1</v>
      </c>
      <c r="AF354" t="s">
        <v>81</v>
      </c>
      <c r="AG354" t="s">
        <v>81</v>
      </c>
      <c r="AH354" t="s">
        <v>81</v>
      </c>
      <c r="AI354" t="s">
        <v>81</v>
      </c>
      <c r="AJ354" t="s">
        <v>80</v>
      </c>
      <c r="AK354" t="s">
        <v>81</v>
      </c>
      <c r="AL354" t="s">
        <v>80</v>
      </c>
      <c r="AM354" t="s">
        <v>80</v>
      </c>
      <c r="AN354">
        <v>4</v>
      </c>
      <c r="AO354">
        <v>3</v>
      </c>
      <c r="AP354">
        <v>3</v>
      </c>
      <c r="AQ354">
        <v>2</v>
      </c>
      <c r="AR354">
        <v>3</v>
      </c>
      <c r="AS354">
        <v>3</v>
      </c>
      <c r="AT354">
        <v>7</v>
      </c>
      <c r="AU354" t="s">
        <v>106</v>
      </c>
      <c r="AV354">
        <v>7</v>
      </c>
      <c r="AW354">
        <v>8</v>
      </c>
    </row>
    <row r="355" spans="16:49" x14ac:dyDescent="0.25">
      <c r="P355">
        <v>354</v>
      </c>
      <c r="Q355" t="s">
        <v>118</v>
      </c>
      <c r="R355" t="s">
        <v>97</v>
      </c>
      <c r="S355">
        <v>19</v>
      </c>
      <c r="T355" t="s">
        <v>107</v>
      </c>
      <c r="U355" t="s">
        <v>71</v>
      </c>
      <c r="V355" t="s">
        <v>83</v>
      </c>
      <c r="W355" t="s">
        <v>84</v>
      </c>
      <c r="X355" t="s">
        <v>84</v>
      </c>
      <c r="Y355" t="s">
        <v>85</v>
      </c>
      <c r="Z355" t="s">
        <v>85</v>
      </c>
      <c r="AA355" t="s">
        <v>92</v>
      </c>
      <c r="AB355" t="s">
        <v>85</v>
      </c>
      <c r="AC355" t="s">
        <v>103</v>
      </c>
      <c r="AD355" t="s">
        <v>104</v>
      </c>
      <c r="AE355">
        <v>1</v>
      </c>
      <c r="AF355" t="s">
        <v>81</v>
      </c>
      <c r="AG355" t="s">
        <v>80</v>
      </c>
      <c r="AH355" t="s">
        <v>81</v>
      </c>
      <c r="AI355" t="s">
        <v>81</v>
      </c>
      <c r="AJ355" t="s">
        <v>80</v>
      </c>
      <c r="AK355" t="s">
        <v>80</v>
      </c>
      <c r="AL355" t="s">
        <v>80</v>
      </c>
      <c r="AM355" t="s">
        <v>81</v>
      </c>
      <c r="AN355">
        <v>4</v>
      </c>
      <c r="AO355">
        <v>4</v>
      </c>
      <c r="AP355">
        <v>4</v>
      </c>
      <c r="AQ355">
        <v>3</v>
      </c>
      <c r="AR355">
        <v>3</v>
      </c>
      <c r="AS355">
        <v>5</v>
      </c>
      <c r="AT355">
        <v>4</v>
      </c>
      <c r="AU355" t="s">
        <v>106</v>
      </c>
      <c r="AV355">
        <v>8</v>
      </c>
      <c r="AW355">
        <v>8</v>
      </c>
    </row>
    <row r="356" spans="16:49" x14ac:dyDescent="0.25">
      <c r="P356">
        <v>355</v>
      </c>
      <c r="Q356" t="s">
        <v>118</v>
      </c>
      <c r="R356" t="s">
        <v>97</v>
      </c>
      <c r="S356">
        <v>17</v>
      </c>
      <c r="T356" t="s">
        <v>107</v>
      </c>
      <c r="U356" t="s">
        <v>71</v>
      </c>
      <c r="V356" t="s">
        <v>83</v>
      </c>
      <c r="W356" t="s">
        <v>73</v>
      </c>
      <c r="X356" t="s">
        <v>95</v>
      </c>
      <c r="Y356" t="s">
        <v>91</v>
      </c>
      <c r="Z356" t="s">
        <v>85</v>
      </c>
      <c r="AA356" t="s">
        <v>92</v>
      </c>
      <c r="AB356" t="s">
        <v>77</v>
      </c>
      <c r="AC356" t="s">
        <v>78</v>
      </c>
      <c r="AD356" t="s">
        <v>79</v>
      </c>
      <c r="AE356">
        <v>0</v>
      </c>
      <c r="AF356" t="s">
        <v>81</v>
      </c>
      <c r="AG356" t="s">
        <v>80</v>
      </c>
      <c r="AH356" t="s">
        <v>80</v>
      </c>
      <c r="AI356" t="s">
        <v>80</v>
      </c>
      <c r="AJ356" t="s">
        <v>81</v>
      </c>
      <c r="AK356" t="s">
        <v>80</v>
      </c>
      <c r="AL356" t="s">
        <v>80</v>
      </c>
      <c r="AM356" t="s">
        <v>80</v>
      </c>
      <c r="AN356">
        <v>4</v>
      </c>
      <c r="AO356">
        <v>5</v>
      </c>
      <c r="AP356">
        <v>5</v>
      </c>
      <c r="AQ356">
        <v>1</v>
      </c>
      <c r="AR356">
        <v>3</v>
      </c>
      <c r="AS356">
        <v>2</v>
      </c>
      <c r="AT356">
        <v>4</v>
      </c>
      <c r="AU356" t="s">
        <v>105</v>
      </c>
      <c r="AV356">
        <v>11</v>
      </c>
      <c r="AW356">
        <v>11</v>
      </c>
    </row>
    <row r="357" spans="16:49" x14ac:dyDescent="0.25">
      <c r="P357">
        <v>356</v>
      </c>
      <c r="Q357" t="s">
        <v>118</v>
      </c>
      <c r="R357" t="s">
        <v>69</v>
      </c>
      <c r="S357">
        <v>18</v>
      </c>
      <c r="T357" t="s">
        <v>70</v>
      </c>
      <c r="U357" t="s">
        <v>71</v>
      </c>
      <c r="V357" t="s">
        <v>83</v>
      </c>
      <c r="W357" t="s">
        <v>95</v>
      </c>
      <c r="X357" t="s">
        <v>95</v>
      </c>
      <c r="Y357" t="s">
        <v>91</v>
      </c>
      <c r="Z357" t="s">
        <v>91</v>
      </c>
      <c r="AA357" t="s">
        <v>76</v>
      </c>
      <c r="AB357" t="s">
        <v>86</v>
      </c>
      <c r="AC357" t="s">
        <v>87</v>
      </c>
      <c r="AD357" t="s">
        <v>79</v>
      </c>
      <c r="AE357">
        <v>0</v>
      </c>
      <c r="AF357" t="s">
        <v>81</v>
      </c>
      <c r="AG357" t="s">
        <v>80</v>
      </c>
      <c r="AH357" t="s">
        <v>81</v>
      </c>
      <c r="AI357" t="s">
        <v>81</v>
      </c>
      <c r="AJ357" t="s">
        <v>80</v>
      </c>
      <c r="AK357" t="s">
        <v>80</v>
      </c>
      <c r="AL357" t="s">
        <v>81</v>
      </c>
      <c r="AM357" t="s">
        <v>80</v>
      </c>
      <c r="AN357">
        <v>5</v>
      </c>
      <c r="AO357">
        <v>3</v>
      </c>
      <c r="AP357">
        <v>4</v>
      </c>
      <c r="AQ357">
        <v>1</v>
      </c>
      <c r="AR357">
        <v>1</v>
      </c>
      <c r="AS357">
        <v>5</v>
      </c>
      <c r="AT357">
        <v>0</v>
      </c>
      <c r="AU357" t="s">
        <v>102</v>
      </c>
      <c r="AV357">
        <v>9</v>
      </c>
      <c r="AW357">
        <v>9</v>
      </c>
    </row>
    <row r="358" spans="16:49" x14ac:dyDescent="0.25">
      <c r="P358">
        <v>357</v>
      </c>
      <c r="Q358" t="s">
        <v>118</v>
      </c>
      <c r="R358" t="s">
        <v>69</v>
      </c>
      <c r="S358">
        <v>17</v>
      </c>
      <c r="T358" t="s">
        <v>107</v>
      </c>
      <c r="U358" t="s">
        <v>71</v>
      </c>
      <c r="V358" t="s">
        <v>83</v>
      </c>
      <c r="W358" t="s">
        <v>73</v>
      </c>
      <c r="X358" t="s">
        <v>73</v>
      </c>
      <c r="Y358" t="s">
        <v>75</v>
      </c>
      <c r="Z358" t="s">
        <v>91</v>
      </c>
      <c r="AA358" t="s">
        <v>85</v>
      </c>
      <c r="AB358" t="s">
        <v>86</v>
      </c>
      <c r="AC358" t="s">
        <v>78</v>
      </c>
      <c r="AD358" t="s">
        <v>79</v>
      </c>
      <c r="AE358">
        <v>0</v>
      </c>
      <c r="AF358" t="s">
        <v>81</v>
      </c>
      <c r="AG358" t="s">
        <v>80</v>
      </c>
      <c r="AH358" t="s">
        <v>80</v>
      </c>
      <c r="AI358" t="s">
        <v>80</v>
      </c>
      <c r="AJ358" t="s">
        <v>80</v>
      </c>
      <c r="AK358" t="s">
        <v>80</v>
      </c>
      <c r="AL358" t="s">
        <v>80</v>
      </c>
      <c r="AM358" t="s">
        <v>81</v>
      </c>
      <c r="AN358">
        <v>4</v>
      </c>
      <c r="AO358">
        <v>3</v>
      </c>
      <c r="AP358">
        <v>3</v>
      </c>
      <c r="AQ358">
        <v>1</v>
      </c>
      <c r="AR358">
        <v>2</v>
      </c>
      <c r="AS358">
        <v>5</v>
      </c>
      <c r="AT358">
        <v>4</v>
      </c>
      <c r="AU358" t="s">
        <v>99</v>
      </c>
      <c r="AV358">
        <v>13</v>
      </c>
      <c r="AW358">
        <v>13</v>
      </c>
    </row>
    <row r="359" spans="16:49" x14ac:dyDescent="0.25">
      <c r="P359">
        <v>358</v>
      </c>
      <c r="Q359" t="s">
        <v>118</v>
      </c>
      <c r="R359" t="s">
        <v>69</v>
      </c>
      <c r="S359">
        <v>17</v>
      </c>
      <c r="T359" t="s">
        <v>70</v>
      </c>
      <c r="U359" t="s">
        <v>88</v>
      </c>
      <c r="V359" t="s">
        <v>72</v>
      </c>
      <c r="W359" t="s">
        <v>95</v>
      </c>
      <c r="X359" t="s">
        <v>90</v>
      </c>
      <c r="Y359" t="s">
        <v>91</v>
      </c>
      <c r="Z359" t="s">
        <v>85</v>
      </c>
      <c r="AA359" t="s">
        <v>98</v>
      </c>
      <c r="AB359" t="s">
        <v>77</v>
      </c>
      <c r="AC359" t="s">
        <v>78</v>
      </c>
      <c r="AD359" t="s">
        <v>79</v>
      </c>
      <c r="AE359">
        <v>0</v>
      </c>
      <c r="AF359" t="s">
        <v>81</v>
      </c>
      <c r="AG359" t="s">
        <v>81</v>
      </c>
      <c r="AH359" t="s">
        <v>81</v>
      </c>
      <c r="AI359" t="s">
        <v>81</v>
      </c>
      <c r="AJ359" t="s">
        <v>80</v>
      </c>
      <c r="AK359" t="s">
        <v>80</v>
      </c>
      <c r="AL359" t="s">
        <v>81</v>
      </c>
      <c r="AM359" t="s">
        <v>80</v>
      </c>
      <c r="AN359">
        <v>1</v>
      </c>
      <c r="AO359">
        <v>2</v>
      </c>
      <c r="AP359">
        <v>3</v>
      </c>
      <c r="AQ359">
        <v>1</v>
      </c>
      <c r="AR359">
        <v>2</v>
      </c>
      <c r="AS359">
        <v>5</v>
      </c>
      <c r="AT359">
        <v>2</v>
      </c>
      <c r="AU359" t="s">
        <v>99</v>
      </c>
      <c r="AV359">
        <v>12</v>
      </c>
      <c r="AW359">
        <v>11</v>
      </c>
    </row>
    <row r="360" spans="16:49" x14ac:dyDescent="0.25">
      <c r="P360">
        <v>359</v>
      </c>
      <c r="Q360" t="s">
        <v>118</v>
      </c>
      <c r="R360" t="s">
        <v>97</v>
      </c>
      <c r="S360">
        <v>18</v>
      </c>
      <c r="T360" t="s">
        <v>70</v>
      </c>
      <c r="U360" t="s">
        <v>88</v>
      </c>
      <c r="V360" t="s">
        <v>83</v>
      </c>
      <c r="W360" t="s">
        <v>84</v>
      </c>
      <c r="X360" t="s">
        <v>84</v>
      </c>
      <c r="Y360" t="s">
        <v>85</v>
      </c>
      <c r="Z360" t="s">
        <v>91</v>
      </c>
      <c r="AA360" t="s">
        <v>92</v>
      </c>
      <c r="AB360" t="s">
        <v>86</v>
      </c>
      <c r="AC360" t="s">
        <v>78</v>
      </c>
      <c r="AD360" t="s">
        <v>104</v>
      </c>
      <c r="AE360">
        <v>0</v>
      </c>
      <c r="AF360" t="s">
        <v>81</v>
      </c>
      <c r="AG360" t="s">
        <v>81</v>
      </c>
      <c r="AH360" t="s">
        <v>81</v>
      </c>
      <c r="AI360" t="s">
        <v>81</v>
      </c>
      <c r="AJ360" t="s">
        <v>81</v>
      </c>
      <c r="AK360" t="s">
        <v>80</v>
      </c>
      <c r="AL360" t="s">
        <v>80</v>
      </c>
      <c r="AM360" t="s">
        <v>80</v>
      </c>
      <c r="AN360">
        <v>3</v>
      </c>
      <c r="AO360">
        <v>3</v>
      </c>
      <c r="AP360">
        <v>2</v>
      </c>
      <c r="AQ360">
        <v>1</v>
      </c>
      <c r="AR360">
        <v>2</v>
      </c>
      <c r="AS360">
        <v>3</v>
      </c>
      <c r="AT360">
        <v>4</v>
      </c>
      <c r="AU360" t="s">
        <v>102</v>
      </c>
      <c r="AV360">
        <v>10</v>
      </c>
      <c r="AW360">
        <v>10</v>
      </c>
    </row>
    <row r="361" spans="16:49" x14ac:dyDescent="0.25">
      <c r="P361">
        <v>360</v>
      </c>
      <c r="Q361" t="s">
        <v>118</v>
      </c>
      <c r="R361" t="s">
        <v>69</v>
      </c>
      <c r="S361">
        <v>18</v>
      </c>
      <c r="T361" t="s">
        <v>70</v>
      </c>
      <c r="U361" t="s">
        <v>88</v>
      </c>
      <c r="V361" t="s">
        <v>83</v>
      </c>
      <c r="W361" t="s">
        <v>84</v>
      </c>
      <c r="X361" t="s">
        <v>84</v>
      </c>
      <c r="Y361" t="s">
        <v>74</v>
      </c>
      <c r="Z361" t="s">
        <v>91</v>
      </c>
      <c r="AA361" t="s">
        <v>76</v>
      </c>
      <c r="AB361" t="s">
        <v>86</v>
      </c>
      <c r="AC361" t="s">
        <v>78</v>
      </c>
      <c r="AD361" t="s">
        <v>93</v>
      </c>
      <c r="AE361">
        <v>0</v>
      </c>
      <c r="AF361" t="s">
        <v>81</v>
      </c>
      <c r="AG361" t="s">
        <v>81</v>
      </c>
      <c r="AH361" t="s">
        <v>81</v>
      </c>
      <c r="AI361" t="s">
        <v>81</v>
      </c>
      <c r="AJ361" t="s">
        <v>80</v>
      </c>
      <c r="AK361" t="s">
        <v>80</v>
      </c>
      <c r="AL361" t="s">
        <v>80</v>
      </c>
      <c r="AM361" t="s">
        <v>81</v>
      </c>
      <c r="AN361">
        <v>5</v>
      </c>
      <c r="AO361">
        <v>3</v>
      </c>
      <c r="AP361">
        <v>2</v>
      </c>
      <c r="AQ361">
        <v>1</v>
      </c>
      <c r="AR361">
        <v>1</v>
      </c>
      <c r="AS361">
        <v>4</v>
      </c>
      <c r="AT361">
        <v>0</v>
      </c>
      <c r="AU361" t="s">
        <v>115</v>
      </c>
      <c r="AV361">
        <v>16</v>
      </c>
      <c r="AW361">
        <v>16</v>
      </c>
    </row>
    <row r="362" spans="16:49" x14ac:dyDescent="0.25">
      <c r="P362">
        <v>361</v>
      </c>
      <c r="Q362" t="s">
        <v>118</v>
      </c>
      <c r="R362" t="s">
        <v>69</v>
      </c>
      <c r="S362">
        <v>18</v>
      </c>
      <c r="T362" t="s">
        <v>107</v>
      </c>
      <c r="U362" t="s">
        <v>88</v>
      </c>
      <c r="V362" t="s">
        <v>72</v>
      </c>
      <c r="W362" t="s">
        <v>84</v>
      </c>
      <c r="X362" t="s">
        <v>73</v>
      </c>
      <c r="Y362" t="s">
        <v>74</v>
      </c>
      <c r="Z362" t="s">
        <v>85</v>
      </c>
      <c r="AA362" t="s">
        <v>76</v>
      </c>
      <c r="AB362" t="s">
        <v>77</v>
      </c>
      <c r="AC362" t="s">
        <v>103</v>
      </c>
      <c r="AD362" t="s">
        <v>79</v>
      </c>
      <c r="AE362">
        <v>0</v>
      </c>
      <c r="AF362" t="s">
        <v>81</v>
      </c>
      <c r="AG362" t="s">
        <v>81</v>
      </c>
      <c r="AH362" t="s">
        <v>81</v>
      </c>
      <c r="AI362" t="s">
        <v>81</v>
      </c>
      <c r="AJ362" t="s">
        <v>80</v>
      </c>
      <c r="AK362" t="s">
        <v>80</v>
      </c>
      <c r="AL362" t="s">
        <v>81</v>
      </c>
      <c r="AM362" t="s">
        <v>80</v>
      </c>
      <c r="AN362">
        <v>4</v>
      </c>
      <c r="AO362">
        <v>3</v>
      </c>
      <c r="AP362">
        <v>4</v>
      </c>
      <c r="AQ362">
        <v>1</v>
      </c>
      <c r="AR362">
        <v>4</v>
      </c>
      <c r="AS362">
        <v>5</v>
      </c>
      <c r="AT362">
        <v>0</v>
      </c>
      <c r="AU362" t="s">
        <v>105</v>
      </c>
      <c r="AV362">
        <v>13</v>
      </c>
      <c r="AW362">
        <v>13</v>
      </c>
    </row>
    <row r="363" spans="16:49" x14ac:dyDescent="0.25">
      <c r="P363">
        <v>362</v>
      </c>
      <c r="Q363" t="s">
        <v>118</v>
      </c>
      <c r="R363" t="s">
        <v>97</v>
      </c>
      <c r="S363">
        <v>18</v>
      </c>
      <c r="T363" t="s">
        <v>107</v>
      </c>
      <c r="U363" t="s">
        <v>88</v>
      </c>
      <c r="V363" t="s">
        <v>83</v>
      </c>
      <c r="W363" t="s">
        <v>84</v>
      </c>
      <c r="X363" t="s">
        <v>84</v>
      </c>
      <c r="Y363" t="s">
        <v>74</v>
      </c>
      <c r="Z363" t="s">
        <v>85</v>
      </c>
      <c r="AA363" t="s">
        <v>85</v>
      </c>
      <c r="AB363" t="s">
        <v>77</v>
      </c>
      <c r="AC363" t="s">
        <v>78</v>
      </c>
      <c r="AD363" t="s">
        <v>79</v>
      </c>
      <c r="AE363">
        <v>1</v>
      </c>
      <c r="AF363" t="s">
        <v>81</v>
      </c>
      <c r="AG363" t="s">
        <v>81</v>
      </c>
      <c r="AH363" t="s">
        <v>81</v>
      </c>
      <c r="AI363" t="s">
        <v>80</v>
      </c>
      <c r="AJ363" t="s">
        <v>81</v>
      </c>
      <c r="AK363" t="s">
        <v>81</v>
      </c>
      <c r="AL363" t="s">
        <v>81</v>
      </c>
      <c r="AM363" t="s">
        <v>81</v>
      </c>
      <c r="AN363">
        <v>4</v>
      </c>
      <c r="AO363">
        <v>4</v>
      </c>
      <c r="AP363">
        <v>3</v>
      </c>
      <c r="AQ363">
        <v>2</v>
      </c>
      <c r="AR363">
        <v>3</v>
      </c>
      <c r="AS363">
        <v>5</v>
      </c>
      <c r="AT363">
        <v>2</v>
      </c>
      <c r="AU363" t="s">
        <v>105</v>
      </c>
      <c r="AV363">
        <v>12</v>
      </c>
      <c r="AW363">
        <v>12</v>
      </c>
    </row>
    <row r="364" spans="16:49" x14ac:dyDescent="0.25">
      <c r="P364">
        <v>363</v>
      </c>
      <c r="Q364" t="s">
        <v>118</v>
      </c>
      <c r="R364" t="s">
        <v>69</v>
      </c>
      <c r="S364">
        <v>18</v>
      </c>
      <c r="T364" t="s">
        <v>70</v>
      </c>
      <c r="U364" t="s">
        <v>71</v>
      </c>
      <c r="V364" t="s">
        <v>83</v>
      </c>
      <c r="W364" t="s">
        <v>95</v>
      </c>
      <c r="X364" t="s">
        <v>95</v>
      </c>
      <c r="Y364" t="s">
        <v>91</v>
      </c>
      <c r="Z364" t="s">
        <v>91</v>
      </c>
      <c r="AA364" t="s">
        <v>85</v>
      </c>
      <c r="AB364" t="s">
        <v>77</v>
      </c>
      <c r="AC364" t="s">
        <v>78</v>
      </c>
      <c r="AD364" t="s">
        <v>79</v>
      </c>
      <c r="AE364">
        <v>0</v>
      </c>
      <c r="AF364" t="s">
        <v>81</v>
      </c>
      <c r="AG364" t="s">
        <v>80</v>
      </c>
      <c r="AH364" t="s">
        <v>81</v>
      </c>
      <c r="AI364" t="s">
        <v>81</v>
      </c>
      <c r="AJ364" t="s">
        <v>80</v>
      </c>
      <c r="AK364" t="s">
        <v>80</v>
      </c>
      <c r="AL364" t="s">
        <v>80</v>
      </c>
      <c r="AM364" t="s">
        <v>80</v>
      </c>
      <c r="AN364">
        <v>4</v>
      </c>
      <c r="AO364">
        <v>3</v>
      </c>
      <c r="AP364">
        <v>2</v>
      </c>
      <c r="AQ364">
        <v>1</v>
      </c>
      <c r="AR364">
        <v>3</v>
      </c>
      <c r="AS364">
        <v>3</v>
      </c>
      <c r="AT364">
        <v>0</v>
      </c>
      <c r="AU364" t="s">
        <v>108</v>
      </c>
      <c r="AV364">
        <v>11</v>
      </c>
      <c r="AW364">
        <v>10</v>
      </c>
    </row>
    <row r="365" spans="16:49" x14ac:dyDescent="0.25">
      <c r="P365">
        <v>364</v>
      </c>
      <c r="Q365" t="s">
        <v>118</v>
      </c>
      <c r="R365" t="s">
        <v>69</v>
      </c>
      <c r="S365">
        <v>17</v>
      </c>
      <c r="T365" t="s">
        <v>70</v>
      </c>
      <c r="U365" t="s">
        <v>88</v>
      </c>
      <c r="V365" t="s">
        <v>83</v>
      </c>
      <c r="W365" t="s">
        <v>73</v>
      </c>
      <c r="X365" t="s">
        <v>73</v>
      </c>
      <c r="Y365" t="s">
        <v>74</v>
      </c>
      <c r="Z365" t="s">
        <v>74</v>
      </c>
      <c r="AA365" t="s">
        <v>76</v>
      </c>
      <c r="AB365" t="s">
        <v>77</v>
      </c>
      <c r="AC365" t="s">
        <v>87</v>
      </c>
      <c r="AD365" t="s">
        <v>79</v>
      </c>
      <c r="AE365">
        <v>0</v>
      </c>
      <c r="AF365" t="s">
        <v>81</v>
      </c>
      <c r="AG365" t="s">
        <v>80</v>
      </c>
      <c r="AH365" t="s">
        <v>80</v>
      </c>
      <c r="AI365" t="s">
        <v>80</v>
      </c>
      <c r="AJ365" t="s">
        <v>80</v>
      </c>
      <c r="AK365" t="s">
        <v>80</v>
      </c>
      <c r="AL365" t="s">
        <v>80</v>
      </c>
      <c r="AM365" t="s">
        <v>80</v>
      </c>
      <c r="AN365">
        <v>2</v>
      </c>
      <c r="AO365">
        <v>3</v>
      </c>
      <c r="AP365">
        <v>4</v>
      </c>
      <c r="AQ365">
        <v>1</v>
      </c>
      <c r="AR365">
        <v>1</v>
      </c>
      <c r="AS365">
        <v>1</v>
      </c>
      <c r="AT365">
        <v>0</v>
      </c>
      <c r="AU365" t="s">
        <v>100</v>
      </c>
      <c r="AV365">
        <v>15</v>
      </c>
      <c r="AW365">
        <v>15</v>
      </c>
    </row>
    <row r="366" spans="16:49" x14ac:dyDescent="0.25">
      <c r="P366">
        <v>365</v>
      </c>
      <c r="Q366" t="s">
        <v>118</v>
      </c>
      <c r="R366" t="s">
        <v>69</v>
      </c>
      <c r="S366">
        <v>17</v>
      </c>
      <c r="T366" t="s">
        <v>107</v>
      </c>
      <c r="U366" t="s">
        <v>71</v>
      </c>
      <c r="V366" t="s">
        <v>83</v>
      </c>
      <c r="W366" t="s">
        <v>84</v>
      </c>
      <c r="X366" t="s">
        <v>90</v>
      </c>
      <c r="Y366" t="s">
        <v>85</v>
      </c>
      <c r="Z366" t="s">
        <v>91</v>
      </c>
      <c r="AA366" t="s">
        <v>76</v>
      </c>
      <c r="AB366" t="s">
        <v>86</v>
      </c>
      <c r="AC366" t="s">
        <v>78</v>
      </c>
      <c r="AD366" t="s">
        <v>79</v>
      </c>
      <c r="AE366">
        <v>0</v>
      </c>
      <c r="AF366" t="s">
        <v>81</v>
      </c>
      <c r="AG366" t="s">
        <v>81</v>
      </c>
      <c r="AH366" t="s">
        <v>81</v>
      </c>
      <c r="AI366" t="s">
        <v>81</v>
      </c>
      <c r="AJ366" t="s">
        <v>81</v>
      </c>
      <c r="AK366" t="s">
        <v>80</v>
      </c>
      <c r="AL366" t="s">
        <v>81</v>
      </c>
      <c r="AM366" t="s">
        <v>81</v>
      </c>
      <c r="AN366">
        <v>3</v>
      </c>
      <c r="AO366">
        <v>2</v>
      </c>
      <c r="AP366">
        <v>2</v>
      </c>
      <c r="AQ366">
        <v>1</v>
      </c>
      <c r="AR366">
        <v>2</v>
      </c>
      <c r="AS366">
        <v>3</v>
      </c>
      <c r="AT366">
        <v>0</v>
      </c>
      <c r="AU366" t="s">
        <v>99</v>
      </c>
      <c r="AV366">
        <v>11</v>
      </c>
      <c r="AW366">
        <v>12</v>
      </c>
    </row>
    <row r="367" spans="16:49" x14ac:dyDescent="0.25">
      <c r="P367">
        <v>366</v>
      </c>
      <c r="Q367" t="s">
        <v>118</v>
      </c>
      <c r="R367" t="s">
        <v>97</v>
      </c>
      <c r="S367">
        <v>18</v>
      </c>
      <c r="T367" t="s">
        <v>107</v>
      </c>
      <c r="U367" t="s">
        <v>71</v>
      </c>
      <c r="V367" t="s">
        <v>83</v>
      </c>
      <c r="W367" t="s">
        <v>84</v>
      </c>
      <c r="X367" t="s">
        <v>95</v>
      </c>
      <c r="Y367" t="s">
        <v>74</v>
      </c>
      <c r="Z367" t="s">
        <v>85</v>
      </c>
      <c r="AA367" t="s">
        <v>76</v>
      </c>
      <c r="AB367" t="s">
        <v>77</v>
      </c>
      <c r="AC367" t="s">
        <v>78</v>
      </c>
      <c r="AD367" t="s">
        <v>79</v>
      </c>
      <c r="AE367">
        <v>0</v>
      </c>
      <c r="AF367" t="s">
        <v>81</v>
      </c>
      <c r="AG367" t="s">
        <v>80</v>
      </c>
      <c r="AH367" t="s">
        <v>80</v>
      </c>
      <c r="AI367" t="s">
        <v>81</v>
      </c>
      <c r="AJ367" t="s">
        <v>80</v>
      </c>
      <c r="AK367" t="s">
        <v>80</v>
      </c>
      <c r="AL367" t="s">
        <v>81</v>
      </c>
      <c r="AM367" t="s">
        <v>81</v>
      </c>
      <c r="AN367">
        <v>3</v>
      </c>
      <c r="AO367">
        <v>3</v>
      </c>
      <c r="AP367">
        <v>4</v>
      </c>
      <c r="AQ367">
        <v>2</v>
      </c>
      <c r="AR367">
        <v>4</v>
      </c>
      <c r="AS367">
        <v>3</v>
      </c>
      <c r="AT367">
        <v>4</v>
      </c>
      <c r="AU367" t="s">
        <v>102</v>
      </c>
      <c r="AV367">
        <v>10</v>
      </c>
      <c r="AW367">
        <v>10</v>
      </c>
    </row>
    <row r="368" spans="16:49" x14ac:dyDescent="0.25">
      <c r="P368">
        <v>367</v>
      </c>
      <c r="Q368" t="s">
        <v>118</v>
      </c>
      <c r="R368" t="s">
        <v>97</v>
      </c>
      <c r="S368">
        <v>18</v>
      </c>
      <c r="T368" t="s">
        <v>70</v>
      </c>
      <c r="U368" t="s">
        <v>88</v>
      </c>
      <c r="V368" t="s">
        <v>83</v>
      </c>
      <c r="W368" t="s">
        <v>73</v>
      </c>
      <c r="X368" t="s">
        <v>73</v>
      </c>
      <c r="Y368" t="s">
        <v>75</v>
      </c>
      <c r="Z368" t="s">
        <v>91</v>
      </c>
      <c r="AA368" t="s">
        <v>85</v>
      </c>
      <c r="AB368" t="s">
        <v>77</v>
      </c>
      <c r="AC368" t="s">
        <v>78</v>
      </c>
      <c r="AD368" t="s">
        <v>93</v>
      </c>
      <c r="AE368">
        <v>0</v>
      </c>
      <c r="AF368" t="s">
        <v>81</v>
      </c>
      <c r="AG368" t="s">
        <v>81</v>
      </c>
      <c r="AH368" t="s">
        <v>80</v>
      </c>
      <c r="AI368" t="s">
        <v>81</v>
      </c>
      <c r="AJ368" t="s">
        <v>80</v>
      </c>
      <c r="AK368" t="s">
        <v>80</v>
      </c>
      <c r="AL368" t="s">
        <v>80</v>
      </c>
      <c r="AM368" t="s">
        <v>80</v>
      </c>
      <c r="AN368">
        <v>4</v>
      </c>
      <c r="AO368">
        <v>2</v>
      </c>
      <c r="AP368">
        <v>2</v>
      </c>
      <c r="AQ368">
        <v>2</v>
      </c>
      <c r="AR368">
        <v>2</v>
      </c>
      <c r="AS368">
        <v>5</v>
      </c>
      <c r="AT368">
        <v>0</v>
      </c>
      <c r="AU368" t="s">
        <v>105</v>
      </c>
      <c r="AV368">
        <v>13</v>
      </c>
      <c r="AW368">
        <v>13</v>
      </c>
    </row>
    <row r="369" spans="16:49" x14ac:dyDescent="0.25">
      <c r="P369">
        <v>368</v>
      </c>
      <c r="Q369" t="s">
        <v>118</v>
      </c>
      <c r="R369" t="s">
        <v>69</v>
      </c>
      <c r="S369">
        <v>17</v>
      </c>
      <c r="T369" t="s">
        <v>107</v>
      </c>
      <c r="U369" t="s">
        <v>71</v>
      </c>
      <c r="V369" t="s">
        <v>83</v>
      </c>
      <c r="W369" t="s">
        <v>84</v>
      </c>
      <c r="X369" t="s">
        <v>84</v>
      </c>
      <c r="Y369" t="s">
        <v>85</v>
      </c>
      <c r="Z369" t="s">
        <v>91</v>
      </c>
      <c r="AA369" t="s">
        <v>98</v>
      </c>
      <c r="AB369" t="s">
        <v>77</v>
      </c>
      <c r="AC369" t="s">
        <v>103</v>
      </c>
      <c r="AD369" t="s">
        <v>104</v>
      </c>
      <c r="AE369">
        <v>1</v>
      </c>
      <c r="AF369" t="s">
        <v>81</v>
      </c>
      <c r="AG369" t="s">
        <v>80</v>
      </c>
      <c r="AH369" t="s">
        <v>80</v>
      </c>
      <c r="AI369" t="s">
        <v>81</v>
      </c>
      <c r="AJ369" t="s">
        <v>80</v>
      </c>
      <c r="AK369" t="s">
        <v>80</v>
      </c>
      <c r="AL369" t="s">
        <v>80</v>
      </c>
      <c r="AM369" t="s">
        <v>80</v>
      </c>
      <c r="AN369">
        <v>5</v>
      </c>
      <c r="AO369">
        <v>2</v>
      </c>
      <c r="AP369">
        <v>1</v>
      </c>
      <c r="AQ369">
        <v>1</v>
      </c>
      <c r="AR369">
        <v>2</v>
      </c>
      <c r="AS369">
        <v>1</v>
      </c>
      <c r="AT369">
        <v>0</v>
      </c>
      <c r="AU369" t="s">
        <v>89</v>
      </c>
      <c r="AV369">
        <v>6</v>
      </c>
      <c r="AW369">
        <v>0</v>
      </c>
    </row>
    <row r="370" spans="16:49" x14ac:dyDescent="0.25">
      <c r="P370">
        <v>369</v>
      </c>
      <c r="Q370" t="s">
        <v>118</v>
      </c>
      <c r="R370" t="s">
        <v>69</v>
      </c>
      <c r="S370">
        <v>18</v>
      </c>
      <c r="T370" t="s">
        <v>70</v>
      </c>
      <c r="U370" t="s">
        <v>71</v>
      </c>
      <c r="V370" t="s">
        <v>83</v>
      </c>
      <c r="W370" t="s">
        <v>90</v>
      </c>
      <c r="X370" t="s">
        <v>95</v>
      </c>
      <c r="Y370" t="s">
        <v>74</v>
      </c>
      <c r="Z370" t="s">
        <v>91</v>
      </c>
      <c r="AA370" t="s">
        <v>76</v>
      </c>
      <c r="AB370" t="s">
        <v>86</v>
      </c>
      <c r="AC370" t="s">
        <v>78</v>
      </c>
      <c r="AD370" t="s">
        <v>104</v>
      </c>
      <c r="AE370">
        <v>0</v>
      </c>
      <c r="AF370" t="s">
        <v>81</v>
      </c>
      <c r="AG370" t="s">
        <v>80</v>
      </c>
      <c r="AH370" t="s">
        <v>80</v>
      </c>
      <c r="AI370" t="s">
        <v>81</v>
      </c>
      <c r="AJ370" t="s">
        <v>80</v>
      </c>
      <c r="AK370" t="s">
        <v>80</v>
      </c>
      <c r="AL370" t="s">
        <v>80</v>
      </c>
      <c r="AM370" t="s">
        <v>80</v>
      </c>
      <c r="AN370">
        <v>5</v>
      </c>
      <c r="AO370">
        <v>2</v>
      </c>
      <c r="AP370">
        <v>3</v>
      </c>
      <c r="AQ370">
        <v>1</v>
      </c>
      <c r="AR370">
        <v>2</v>
      </c>
      <c r="AS370">
        <v>4</v>
      </c>
      <c r="AT370">
        <v>0</v>
      </c>
      <c r="AU370" t="s">
        <v>108</v>
      </c>
      <c r="AV370">
        <v>10</v>
      </c>
      <c r="AW370">
        <v>10</v>
      </c>
    </row>
    <row r="371" spans="16:49" x14ac:dyDescent="0.25">
      <c r="P371">
        <v>370</v>
      </c>
      <c r="Q371" t="s">
        <v>118</v>
      </c>
      <c r="R371" t="s">
        <v>69</v>
      </c>
      <c r="S371">
        <v>18</v>
      </c>
      <c r="T371" t="s">
        <v>107</v>
      </c>
      <c r="U371" t="s">
        <v>71</v>
      </c>
      <c r="V371" t="s">
        <v>83</v>
      </c>
      <c r="W371" t="s">
        <v>73</v>
      </c>
      <c r="X371" t="s">
        <v>73</v>
      </c>
      <c r="Y371" t="s">
        <v>85</v>
      </c>
      <c r="Z371" t="s">
        <v>75</v>
      </c>
      <c r="AA371" t="s">
        <v>85</v>
      </c>
      <c r="AB371" t="s">
        <v>86</v>
      </c>
      <c r="AC371" t="s">
        <v>103</v>
      </c>
      <c r="AD371" t="s">
        <v>79</v>
      </c>
      <c r="AE371">
        <v>0</v>
      </c>
      <c r="AF371" t="s">
        <v>81</v>
      </c>
      <c r="AG371" t="s">
        <v>80</v>
      </c>
      <c r="AH371" t="s">
        <v>80</v>
      </c>
      <c r="AI371" t="s">
        <v>81</v>
      </c>
      <c r="AJ371" t="s">
        <v>81</v>
      </c>
      <c r="AK371" t="s">
        <v>80</v>
      </c>
      <c r="AL371" t="s">
        <v>80</v>
      </c>
      <c r="AM371" t="s">
        <v>80</v>
      </c>
      <c r="AN371">
        <v>3</v>
      </c>
      <c r="AO371">
        <v>2</v>
      </c>
      <c r="AP371">
        <v>2</v>
      </c>
      <c r="AQ371">
        <v>4</v>
      </c>
      <c r="AR371">
        <v>2</v>
      </c>
      <c r="AS371">
        <v>5</v>
      </c>
      <c r="AT371">
        <v>10</v>
      </c>
      <c r="AU371" t="s">
        <v>101</v>
      </c>
      <c r="AV371">
        <v>12</v>
      </c>
      <c r="AW371">
        <v>11</v>
      </c>
    </row>
    <row r="372" spans="16:49" x14ac:dyDescent="0.25">
      <c r="P372">
        <v>371</v>
      </c>
      <c r="Q372" t="s">
        <v>118</v>
      </c>
      <c r="R372" t="s">
        <v>69</v>
      </c>
      <c r="S372">
        <v>19</v>
      </c>
      <c r="T372" t="s">
        <v>70</v>
      </c>
      <c r="U372" t="s">
        <v>88</v>
      </c>
      <c r="V372" t="s">
        <v>83</v>
      </c>
      <c r="W372" t="s">
        <v>95</v>
      </c>
      <c r="X372" t="s">
        <v>90</v>
      </c>
      <c r="Y372" t="s">
        <v>91</v>
      </c>
      <c r="Z372" t="s">
        <v>91</v>
      </c>
      <c r="AA372" t="s">
        <v>92</v>
      </c>
      <c r="AB372" t="s">
        <v>85</v>
      </c>
      <c r="AC372" t="s">
        <v>78</v>
      </c>
      <c r="AD372" t="s">
        <v>79</v>
      </c>
      <c r="AE372">
        <v>2</v>
      </c>
      <c r="AF372" t="s">
        <v>81</v>
      </c>
      <c r="AG372" t="s">
        <v>81</v>
      </c>
      <c r="AH372" t="s">
        <v>81</v>
      </c>
      <c r="AI372" t="s">
        <v>80</v>
      </c>
      <c r="AJ372" t="s">
        <v>80</v>
      </c>
      <c r="AK372" t="s">
        <v>80</v>
      </c>
      <c r="AL372" t="s">
        <v>81</v>
      </c>
      <c r="AM372" t="s">
        <v>80</v>
      </c>
      <c r="AN372">
        <v>3</v>
      </c>
      <c r="AO372">
        <v>2</v>
      </c>
      <c r="AP372">
        <v>2</v>
      </c>
      <c r="AQ372">
        <v>1</v>
      </c>
      <c r="AR372">
        <v>1</v>
      </c>
      <c r="AS372">
        <v>3</v>
      </c>
      <c r="AT372">
        <v>4</v>
      </c>
      <c r="AU372" t="s">
        <v>89</v>
      </c>
      <c r="AV372">
        <v>7</v>
      </c>
      <c r="AW372">
        <v>9</v>
      </c>
    </row>
    <row r="373" spans="16:49" x14ac:dyDescent="0.25">
      <c r="P373">
        <v>372</v>
      </c>
      <c r="Q373" t="s">
        <v>118</v>
      </c>
      <c r="R373" t="s">
        <v>97</v>
      </c>
      <c r="S373">
        <v>18</v>
      </c>
      <c r="T373" t="s">
        <v>107</v>
      </c>
      <c r="U373" t="s">
        <v>88</v>
      </c>
      <c r="V373" t="s">
        <v>83</v>
      </c>
      <c r="W373" t="s">
        <v>84</v>
      </c>
      <c r="X373" t="s">
        <v>90</v>
      </c>
      <c r="Y373" t="s">
        <v>74</v>
      </c>
      <c r="Z373" t="s">
        <v>91</v>
      </c>
      <c r="AA373" t="s">
        <v>85</v>
      </c>
      <c r="AB373" t="s">
        <v>86</v>
      </c>
      <c r="AC373" t="s">
        <v>103</v>
      </c>
      <c r="AD373" t="s">
        <v>104</v>
      </c>
      <c r="AE373">
        <v>0</v>
      </c>
      <c r="AF373" t="s">
        <v>81</v>
      </c>
      <c r="AG373" t="s">
        <v>80</v>
      </c>
      <c r="AH373" t="s">
        <v>80</v>
      </c>
      <c r="AI373" t="s">
        <v>80</v>
      </c>
      <c r="AJ373" t="s">
        <v>80</v>
      </c>
      <c r="AK373" t="s">
        <v>81</v>
      </c>
      <c r="AL373" t="s">
        <v>80</v>
      </c>
      <c r="AM373" t="s">
        <v>80</v>
      </c>
      <c r="AN373">
        <v>4</v>
      </c>
      <c r="AO373">
        <v>3</v>
      </c>
      <c r="AP373">
        <v>3</v>
      </c>
      <c r="AQ373">
        <v>2</v>
      </c>
      <c r="AR373">
        <v>3</v>
      </c>
      <c r="AS373">
        <v>3</v>
      </c>
      <c r="AT373">
        <v>3</v>
      </c>
      <c r="AU373" t="s">
        <v>101</v>
      </c>
      <c r="AV373">
        <v>12</v>
      </c>
      <c r="AW373">
        <v>12</v>
      </c>
    </row>
    <row r="374" spans="16:49" x14ac:dyDescent="0.25">
      <c r="P374">
        <v>373</v>
      </c>
      <c r="Q374" t="s">
        <v>118</v>
      </c>
      <c r="R374" t="s">
        <v>69</v>
      </c>
      <c r="S374">
        <v>17</v>
      </c>
      <c r="T374" t="s">
        <v>70</v>
      </c>
      <c r="U374" t="s">
        <v>71</v>
      </c>
      <c r="V374" t="s">
        <v>83</v>
      </c>
      <c r="W374" t="s">
        <v>90</v>
      </c>
      <c r="X374" t="s">
        <v>90</v>
      </c>
      <c r="Y374" t="s">
        <v>85</v>
      </c>
      <c r="Z374" t="s">
        <v>74</v>
      </c>
      <c r="AA374" t="s">
        <v>92</v>
      </c>
      <c r="AB374" t="s">
        <v>77</v>
      </c>
      <c r="AC374" t="s">
        <v>87</v>
      </c>
      <c r="AD374" t="s">
        <v>93</v>
      </c>
      <c r="AE374">
        <v>0</v>
      </c>
      <c r="AF374" t="s">
        <v>81</v>
      </c>
      <c r="AG374" t="s">
        <v>81</v>
      </c>
      <c r="AH374" t="s">
        <v>81</v>
      </c>
      <c r="AI374" t="s">
        <v>80</v>
      </c>
      <c r="AJ374" t="s">
        <v>80</v>
      </c>
      <c r="AK374" t="s">
        <v>80</v>
      </c>
      <c r="AL374" t="s">
        <v>81</v>
      </c>
      <c r="AM374" t="s">
        <v>80</v>
      </c>
      <c r="AN374">
        <v>3</v>
      </c>
      <c r="AO374">
        <v>4</v>
      </c>
      <c r="AP374">
        <v>3</v>
      </c>
      <c r="AQ374">
        <v>1</v>
      </c>
      <c r="AR374">
        <v>1</v>
      </c>
      <c r="AS374">
        <v>3</v>
      </c>
      <c r="AT374">
        <v>8</v>
      </c>
      <c r="AU374" t="s">
        <v>105</v>
      </c>
      <c r="AV374">
        <v>11</v>
      </c>
      <c r="AW374">
        <v>11</v>
      </c>
    </row>
    <row r="375" spans="16:49" x14ac:dyDescent="0.25">
      <c r="P375">
        <v>374</v>
      </c>
      <c r="Q375" t="s">
        <v>118</v>
      </c>
      <c r="R375" t="s">
        <v>69</v>
      </c>
      <c r="S375">
        <v>17</v>
      </c>
      <c r="T375" t="s">
        <v>107</v>
      </c>
      <c r="U375" t="s">
        <v>71</v>
      </c>
      <c r="V375" t="s">
        <v>83</v>
      </c>
      <c r="W375" t="s">
        <v>84</v>
      </c>
      <c r="X375" t="s">
        <v>90</v>
      </c>
      <c r="Y375" t="s">
        <v>85</v>
      </c>
      <c r="Z375" t="s">
        <v>85</v>
      </c>
      <c r="AA375" t="s">
        <v>76</v>
      </c>
      <c r="AB375" t="s">
        <v>77</v>
      </c>
      <c r="AC375" t="s">
        <v>87</v>
      </c>
      <c r="AD375" t="s">
        <v>104</v>
      </c>
      <c r="AE375">
        <v>0</v>
      </c>
      <c r="AF375" t="s">
        <v>81</v>
      </c>
      <c r="AG375" t="s">
        <v>81</v>
      </c>
      <c r="AH375" t="s">
        <v>81</v>
      </c>
      <c r="AI375" t="s">
        <v>80</v>
      </c>
      <c r="AJ375" t="s">
        <v>80</v>
      </c>
      <c r="AK375" t="s">
        <v>80</v>
      </c>
      <c r="AL375" t="s">
        <v>80</v>
      </c>
      <c r="AM375" t="s">
        <v>81</v>
      </c>
      <c r="AN375">
        <v>3</v>
      </c>
      <c r="AO375">
        <v>5</v>
      </c>
      <c r="AP375">
        <v>5</v>
      </c>
      <c r="AQ375">
        <v>1</v>
      </c>
      <c r="AR375">
        <v>3</v>
      </c>
      <c r="AS375">
        <v>1</v>
      </c>
      <c r="AT375">
        <v>14</v>
      </c>
      <c r="AU375" t="s">
        <v>96</v>
      </c>
      <c r="AV375">
        <v>5</v>
      </c>
      <c r="AW375">
        <v>5</v>
      </c>
    </row>
    <row r="376" spans="16:49" x14ac:dyDescent="0.25">
      <c r="P376">
        <v>375</v>
      </c>
      <c r="Q376" t="s">
        <v>118</v>
      </c>
      <c r="R376" t="s">
        <v>69</v>
      </c>
      <c r="S376">
        <v>18</v>
      </c>
      <c r="T376" t="s">
        <v>107</v>
      </c>
      <c r="U376" t="s">
        <v>88</v>
      </c>
      <c r="V376" t="s">
        <v>83</v>
      </c>
      <c r="W376" t="s">
        <v>73</v>
      </c>
      <c r="X376" t="s">
        <v>73</v>
      </c>
      <c r="Y376" t="s">
        <v>85</v>
      </c>
      <c r="Z376" t="s">
        <v>85</v>
      </c>
      <c r="AA376" t="s">
        <v>98</v>
      </c>
      <c r="AB376" t="s">
        <v>77</v>
      </c>
      <c r="AC376" t="s">
        <v>78</v>
      </c>
      <c r="AD376" t="s">
        <v>93</v>
      </c>
      <c r="AE376">
        <v>0</v>
      </c>
      <c r="AF376" t="s">
        <v>81</v>
      </c>
      <c r="AG376" t="s">
        <v>81</v>
      </c>
      <c r="AH376" t="s">
        <v>81</v>
      </c>
      <c r="AI376" t="s">
        <v>81</v>
      </c>
      <c r="AJ376" t="s">
        <v>80</v>
      </c>
      <c r="AK376" t="s">
        <v>80</v>
      </c>
      <c r="AL376" t="s">
        <v>80</v>
      </c>
      <c r="AM376" t="s">
        <v>81</v>
      </c>
      <c r="AN376">
        <v>5</v>
      </c>
      <c r="AO376">
        <v>4</v>
      </c>
      <c r="AP376">
        <v>4</v>
      </c>
      <c r="AQ376">
        <v>1</v>
      </c>
      <c r="AR376">
        <v>1</v>
      </c>
      <c r="AS376">
        <v>1</v>
      </c>
      <c r="AT376">
        <v>0</v>
      </c>
      <c r="AU376" t="s">
        <v>111</v>
      </c>
      <c r="AV376">
        <v>18</v>
      </c>
      <c r="AW376">
        <v>19</v>
      </c>
    </row>
    <row r="377" spans="16:49" x14ac:dyDescent="0.25">
      <c r="P377">
        <v>376</v>
      </c>
      <c r="Q377" t="s">
        <v>118</v>
      </c>
      <c r="R377" t="s">
        <v>69</v>
      </c>
      <c r="S377">
        <v>18</v>
      </c>
      <c r="T377" t="s">
        <v>107</v>
      </c>
      <c r="U377" t="s">
        <v>71</v>
      </c>
      <c r="V377" t="s">
        <v>83</v>
      </c>
      <c r="W377" t="s">
        <v>84</v>
      </c>
      <c r="X377" t="s">
        <v>84</v>
      </c>
      <c r="Y377" t="s">
        <v>85</v>
      </c>
      <c r="Z377" t="s">
        <v>85</v>
      </c>
      <c r="AA377" t="s">
        <v>92</v>
      </c>
      <c r="AB377" t="s">
        <v>77</v>
      </c>
      <c r="AC377" t="s">
        <v>113</v>
      </c>
      <c r="AD377" t="s">
        <v>93</v>
      </c>
      <c r="AE377">
        <v>0</v>
      </c>
      <c r="AF377" t="s">
        <v>81</v>
      </c>
      <c r="AG377" t="s">
        <v>81</v>
      </c>
      <c r="AH377" t="s">
        <v>81</v>
      </c>
      <c r="AI377" t="s">
        <v>81</v>
      </c>
      <c r="AJ377" t="s">
        <v>80</v>
      </c>
      <c r="AK377" t="s">
        <v>80</v>
      </c>
      <c r="AL377" t="s">
        <v>80</v>
      </c>
      <c r="AM377" t="s">
        <v>81</v>
      </c>
      <c r="AN377">
        <v>4</v>
      </c>
      <c r="AO377">
        <v>3</v>
      </c>
      <c r="AP377">
        <v>2</v>
      </c>
      <c r="AQ377">
        <v>1</v>
      </c>
      <c r="AR377">
        <v>2</v>
      </c>
      <c r="AS377">
        <v>4</v>
      </c>
      <c r="AT377">
        <v>2</v>
      </c>
      <c r="AU377" t="s">
        <v>106</v>
      </c>
      <c r="AV377">
        <v>8</v>
      </c>
      <c r="AW377">
        <v>10</v>
      </c>
    </row>
    <row r="378" spans="16:49" x14ac:dyDescent="0.25">
      <c r="P378">
        <v>377</v>
      </c>
      <c r="Q378" t="s">
        <v>118</v>
      </c>
      <c r="R378" t="s">
        <v>69</v>
      </c>
      <c r="S378">
        <v>20</v>
      </c>
      <c r="T378" t="s">
        <v>70</v>
      </c>
      <c r="U378" t="s">
        <v>71</v>
      </c>
      <c r="V378" t="s">
        <v>83</v>
      </c>
      <c r="W378" t="s">
        <v>73</v>
      </c>
      <c r="X378" t="s">
        <v>90</v>
      </c>
      <c r="Y378" t="s">
        <v>63</v>
      </c>
      <c r="Z378" t="s">
        <v>85</v>
      </c>
      <c r="AA378" t="s">
        <v>76</v>
      </c>
      <c r="AB378" t="s">
        <v>85</v>
      </c>
      <c r="AC378" t="s">
        <v>78</v>
      </c>
      <c r="AD378" t="s">
        <v>93</v>
      </c>
      <c r="AE378">
        <v>2</v>
      </c>
      <c r="AF378" t="s">
        <v>81</v>
      </c>
      <c r="AG378" t="s">
        <v>80</v>
      </c>
      <c r="AH378" t="s">
        <v>80</v>
      </c>
      <c r="AI378" t="s">
        <v>81</v>
      </c>
      <c r="AJ378" t="s">
        <v>81</v>
      </c>
      <c r="AK378" t="s">
        <v>80</v>
      </c>
      <c r="AL378" t="s">
        <v>80</v>
      </c>
      <c r="AM378" t="s">
        <v>80</v>
      </c>
      <c r="AN378">
        <v>5</v>
      </c>
      <c r="AO378">
        <v>4</v>
      </c>
      <c r="AP378">
        <v>3</v>
      </c>
      <c r="AQ378">
        <v>1</v>
      </c>
      <c r="AR378">
        <v>1</v>
      </c>
      <c r="AS378">
        <v>3</v>
      </c>
      <c r="AT378">
        <v>4</v>
      </c>
      <c r="AU378" t="s">
        <v>94</v>
      </c>
      <c r="AV378">
        <v>14</v>
      </c>
      <c r="AW378">
        <v>15</v>
      </c>
    </row>
    <row r="379" spans="16:49" x14ac:dyDescent="0.25">
      <c r="P379">
        <v>378</v>
      </c>
      <c r="Q379" t="s">
        <v>118</v>
      </c>
      <c r="R379" t="s">
        <v>69</v>
      </c>
      <c r="S379">
        <v>18</v>
      </c>
      <c r="T379" t="s">
        <v>107</v>
      </c>
      <c r="U379" t="s">
        <v>88</v>
      </c>
      <c r="V379" t="s">
        <v>83</v>
      </c>
      <c r="W379" t="s">
        <v>73</v>
      </c>
      <c r="X379" t="s">
        <v>73</v>
      </c>
      <c r="Y379" t="s">
        <v>75</v>
      </c>
      <c r="Z379" t="s">
        <v>91</v>
      </c>
      <c r="AA379" t="s">
        <v>76</v>
      </c>
      <c r="AB379" t="s">
        <v>77</v>
      </c>
      <c r="AC379" t="s">
        <v>87</v>
      </c>
      <c r="AD379" t="s">
        <v>79</v>
      </c>
      <c r="AE379">
        <v>0</v>
      </c>
      <c r="AF379" t="s">
        <v>81</v>
      </c>
      <c r="AG379" t="s">
        <v>81</v>
      </c>
      <c r="AH379" t="s">
        <v>80</v>
      </c>
      <c r="AI379" t="s">
        <v>80</v>
      </c>
      <c r="AJ379" t="s">
        <v>80</v>
      </c>
      <c r="AK379" t="s">
        <v>80</v>
      </c>
      <c r="AL379" t="s">
        <v>80</v>
      </c>
      <c r="AM379" t="s">
        <v>81</v>
      </c>
      <c r="AN379">
        <v>5</v>
      </c>
      <c r="AO379">
        <v>4</v>
      </c>
      <c r="AP379">
        <v>3</v>
      </c>
      <c r="AQ379">
        <v>3</v>
      </c>
      <c r="AR379">
        <v>4</v>
      </c>
      <c r="AS379">
        <v>2</v>
      </c>
      <c r="AT379">
        <v>4</v>
      </c>
      <c r="AU379" t="s">
        <v>106</v>
      </c>
      <c r="AV379">
        <v>9</v>
      </c>
      <c r="AW379">
        <v>10</v>
      </c>
    </row>
    <row r="380" spans="16:49" x14ac:dyDescent="0.25">
      <c r="P380">
        <v>379</v>
      </c>
      <c r="Q380" t="s">
        <v>118</v>
      </c>
      <c r="R380" t="s">
        <v>69</v>
      </c>
      <c r="S380">
        <v>18</v>
      </c>
      <c r="T380" t="s">
        <v>70</v>
      </c>
      <c r="U380" t="s">
        <v>71</v>
      </c>
      <c r="V380" t="s">
        <v>83</v>
      </c>
      <c r="W380" t="s">
        <v>95</v>
      </c>
      <c r="X380" t="s">
        <v>95</v>
      </c>
      <c r="Y380" t="s">
        <v>85</v>
      </c>
      <c r="Z380" t="s">
        <v>85</v>
      </c>
      <c r="AA380" t="s">
        <v>92</v>
      </c>
      <c r="AB380" t="s">
        <v>77</v>
      </c>
      <c r="AC380" t="s">
        <v>87</v>
      </c>
      <c r="AD380" t="s">
        <v>79</v>
      </c>
      <c r="AE380">
        <v>0</v>
      </c>
      <c r="AF380" t="s">
        <v>81</v>
      </c>
      <c r="AG380" t="s">
        <v>81</v>
      </c>
      <c r="AH380" t="s">
        <v>80</v>
      </c>
      <c r="AI380" t="s">
        <v>81</v>
      </c>
      <c r="AJ380" t="s">
        <v>80</v>
      </c>
      <c r="AK380" t="s">
        <v>80</v>
      </c>
      <c r="AL380" t="s">
        <v>80</v>
      </c>
      <c r="AM380" t="s">
        <v>80</v>
      </c>
      <c r="AN380">
        <v>4</v>
      </c>
      <c r="AO380">
        <v>1</v>
      </c>
      <c r="AP380">
        <v>3</v>
      </c>
      <c r="AQ380">
        <v>1</v>
      </c>
      <c r="AR380">
        <v>2</v>
      </c>
      <c r="AS380">
        <v>1</v>
      </c>
      <c r="AT380">
        <v>0</v>
      </c>
      <c r="AU380" t="s">
        <v>94</v>
      </c>
      <c r="AV380">
        <v>15</v>
      </c>
      <c r="AW380">
        <v>15</v>
      </c>
    </row>
    <row r="381" spans="16:49" x14ac:dyDescent="0.25">
      <c r="P381">
        <v>380</v>
      </c>
      <c r="Q381" t="s">
        <v>118</v>
      </c>
      <c r="R381" t="s">
        <v>69</v>
      </c>
      <c r="S381">
        <v>17</v>
      </c>
      <c r="T381" t="s">
        <v>107</v>
      </c>
      <c r="U381" t="s">
        <v>71</v>
      </c>
      <c r="V381" t="s">
        <v>83</v>
      </c>
      <c r="W381" t="s">
        <v>95</v>
      </c>
      <c r="X381" t="s">
        <v>84</v>
      </c>
      <c r="Y381" t="s">
        <v>74</v>
      </c>
      <c r="Z381" t="s">
        <v>85</v>
      </c>
      <c r="AA381" t="s">
        <v>98</v>
      </c>
      <c r="AB381" t="s">
        <v>77</v>
      </c>
      <c r="AC381" t="s">
        <v>87</v>
      </c>
      <c r="AD381" t="s">
        <v>79</v>
      </c>
      <c r="AE381">
        <v>0</v>
      </c>
      <c r="AF381" t="s">
        <v>81</v>
      </c>
      <c r="AG381" t="s">
        <v>80</v>
      </c>
      <c r="AH381" t="s">
        <v>80</v>
      </c>
      <c r="AI381" t="s">
        <v>80</v>
      </c>
      <c r="AJ381" t="s">
        <v>81</v>
      </c>
      <c r="AK381" t="s">
        <v>80</v>
      </c>
      <c r="AL381" t="s">
        <v>80</v>
      </c>
      <c r="AM381" t="s">
        <v>81</v>
      </c>
      <c r="AN381">
        <v>4</v>
      </c>
      <c r="AO381">
        <v>5</v>
      </c>
      <c r="AP381">
        <v>4</v>
      </c>
      <c r="AQ381">
        <v>2</v>
      </c>
      <c r="AR381">
        <v>3</v>
      </c>
      <c r="AS381">
        <v>1</v>
      </c>
      <c r="AT381">
        <v>17</v>
      </c>
      <c r="AU381" t="s">
        <v>102</v>
      </c>
      <c r="AV381">
        <v>10</v>
      </c>
      <c r="AW381">
        <v>10</v>
      </c>
    </row>
    <row r="382" spans="16:49" x14ac:dyDescent="0.25">
      <c r="P382">
        <v>381</v>
      </c>
      <c r="Q382" t="s">
        <v>118</v>
      </c>
      <c r="R382" t="s">
        <v>97</v>
      </c>
      <c r="S382">
        <v>18</v>
      </c>
      <c r="T382" t="s">
        <v>70</v>
      </c>
      <c r="U382" t="s">
        <v>71</v>
      </c>
      <c r="V382" t="s">
        <v>83</v>
      </c>
      <c r="W382" t="s">
        <v>73</v>
      </c>
      <c r="X382" t="s">
        <v>73</v>
      </c>
      <c r="Y382" t="s">
        <v>75</v>
      </c>
      <c r="Z382" t="s">
        <v>75</v>
      </c>
      <c r="AA382" t="s">
        <v>92</v>
      </c>
      <c r="AB382" t="s">
        <v>86</v>
      </c>
      <c r="AC382" t="s">
        <v>87</v>
      </c>
      <c r="AD382" t="s">
        <v>79</v>
      </c>
      <c r="AE382">
        <v>0</v>
      </c>
      <c r="AF382" t="s">
        <v>81</v>
      </c>
      <c r="AG382" t="s">
        <v>81</v>
      </c>
      <c r="AH382" t="s">
        <v>80</v>
      </c>
      <c r="AI382" t="s">
        <v>80</v>
      </c>
      <c r="AJ382" t="s">
        <v>81</v>
      </c>
      <c r="AK382" t="s">
        <v>80</v>
      </c>
      <c r="AL382" t="s">
        <v>80</v>
      </c>
      <c r="AM382" t="s">
        <v>81</v>
      </c>
      <c r="AN382">
        <v>3</v>
      </c>
      <c r="AO382">
        <v>2</v>
      </c>
      <c r="AP382">
        <v>4</v>
      </c>
      <c r="AQ382">
        <v>1</v>
      </c>
      <c r="AR382">
        <v>4</v>
      </c>
      <c r="AS382">
        <v>2</v>
      </c>
      <c r="AT382">
        <v>4</v>
      </c>
      <c r="AU382" t="s">
        <v>94</v>
      </c>
      <c r="AV382">
        <v>14</v>
      </c>
      <c r="AW382">
        <v>14</v>
      </c>
    </row>
    <row r="383" spans="16:49" x14ac:dyDescent="0.25">
      <c r="P383">
        <v>382</v>
      </c>
      <c r="Q383" t="s">
        <v>118</v>
      </c>
      <c r="R383" t="s">
        <v>97</v>
      </c>
      <c r="S383">
        <v>18</v>
      </c>
      <c r="T383" t="s">
        <v>107</v>
      </c>
      <c r="U383" t="s">
        <v>71</v>
      </c>
      <c r="V383" t="s">
        <v>83</v>
      </c>
      <c r="W383" t="s">
        <v>90</v>
      </c>
      <c r="X383" t="s">
        <v>84</v>
      </c>
      <c r="Y383" t="s">
        <v>85</v>
      </c>
      <c r="Z383" t="s">
        <v>85</v>
      </c>
      <c r="AA383" t="s">
        <v>85</v>
      </c>
      <c r="AB383" t="s">
        <v>77</v>
      </c>
      <c r="AC383" t="s">
        <v>78</v>
      </c>
      <c r="AD383" t="s">
        <v>104</v>
      </c>
      <c r="AE383">
        <v>0</v>
      </c>
      <c r="AF383" t="s">
        <v>81</v>
      </c>
      <c r="AG383" t="s">
        <v>81</v>
      </c>
      <c r="AH383" t="s">
        <v>81</v>
      </c>
      <c r="AI383" t="s">
        <v>80</v>
      </c>
      <c r="AJ383" t="s">
        <v>81</v>
      </c>
      <c r="AK383" t="s">
        <v>80</v>
      </c>
      <c r="AL383" t="s">
        <v>80</v>
      </c>
      <c r="AM383" t="s">
        <v>80</v>
      </c>
      <c r="AN383">
        <v>4</v>
      </c>
      <c r="AO383">
        <v>4</v>
      </c>
      <c r="AP383">
        <v>3</v>
      </c>
      <c r="AQ383">
        <v>1</v>
      </c>
      <c r="AR383">
        <v>3</v>
      </c>
      <c r="AS383">
        <v>5</v>
      </c>
      <c r="AT383">
        <v>5</v>
      </c>
      <c r="AU383" t="s">
        <v>89</v>
      </c>
      <c r="AV383">
        <v>6</v>
      </c>
      <c r="AW383">
        <v>7</v>
      </c>
    </row>
    <row r="384" spans="16:49" x14ac:dyDescent="0.25">
      <c r="P384">
        <v>383</v>
      </c>
      <c r="Q384" t="s">
        <v>118</v>
      </c>
      <c r="R384" t="s">
        <v>97</v>
      </c>
      <c r="S384">
        <v>17</v>
      </c>
      <c r="T384" t="s">
        <v>70</v>
      </c>
      <c r="U384" t="s">
        <v>71</v>
      </c>
      <c r="V384" t="s">
        <v>83</v>
      </c>
      <c r="W384" t="s">
        <v>90</v>
      </c>
      <c r="X384" t="s">
        <v>95</v>
      </c>
      <c r="Y384" t="s">
        <v>85</v>
      </c>
      <c r="Z384" t="s">
        <v>91</v>
      </c>
      <c r="AA384" t="s">
        <v>92</v>
      </c>
      <c r="AB384" t="s">
        <v>86</v>
      </c>
      <c r="AC384" t="s">
        <v>78</v>
      </c>
      <c r="AD384" t="s">
        <v>79</v>
      </c>
      <c r="AE384">
        <v>0</v>
      </c>
      <c r="AF384" t="s">
        <v>81</v>
      </c>
      <c r="AG384" t="s">
        <v>81</v>
      </c>
      <c r="AH384" t="s">
        <v>81</v>
      </c>
      <c r="AI384" t="s">
        <v>80</v>
      </c>
      <c r="AJ384" t="s">
        <v>80</v>
      </c>
      <c r="AK384" t="s">
        <v>80</v>
      </c>
      <c r="AL384" t="s">
        <v>80</v>
      </c>
      <c r="AM384" t="s">
        <v>81</v>
      </c>
      <c r="AN384">
        <v>4</v>
      </c>
      <c r="AO384">
        <v>4</v>
      </c>
      <c r="AP384">
        <v>3</v>
      </c>
      <c r="AQ384">
        <v>1</v>
      </c>
      <c r="AR384">
        <v>1</v>
      </c>
      <c r="AS384">
        <v>3</v>
      </c>
      <c r="AT384">
        <v>2</v>
      </c>
      <c r="AU384" t="s">
        <v>108</v>
      </c>
      <c r="AV384">
        <v>11</v>
      </c>
      <c r="AW384">
        <v>10</v>
      </c>
    </row>
    <row r="385" spans="16:49" x14ac:dyDescent="0.25">
      <c r="P385">
        <v>384</v>
      </c>
      <c r="Q385" t="s">
        <v>118</v>
      </c>
      <c r="R385" t="s">
        <v>97</v>
      </c>
      <c r="S385">
        <v>19</v>
      </c>
      <c r="T385" t="s">
        <v>107</v>
      </c>
      <c r="U385" t="s">
        <v>71</v>
      </c>
      <c r="V385" t="s">
        <v>83</v>
      </c>
      <c r="W385" t="s">
        <v>84</v>
      </c>
      <c r="X385" t="s">
        <v>84</v>
      </c>
      <c r="Y385" t="s">
        <v>85</v>
      </c>
      <c r="Z385" t="s">
        <v>91</v>
      </c>
      <c r="AA385" t="s">
        <v>85</v>
      </c>
      <c r="AB385" t="s">
        <v>77</v>
      </c>
      <c r="AC385" t="s">
        <v>78</v>
      </c>
      <c r="AD385" t="s">
        <v>104</v>
      </c>
      <c r="AE385">
        <v>1</v>
      </c>
      <c r="AF385" t="s">
        <v>81</v>
      </c>
      <c r="AG385" t="s">
        <v>81</v>
      </c>
      <c r="AH385" t="s">
        <v>81</v>
      </c>
      <c r="AI385" t="s">
        <v>81</v>
      </c>
      <c r="AJ385" t="s">
        <v>80</v>
      </c>
      <c r="AK385" t="s">
        <v>80</v>
      </c>
      <c r="AL385" t="s">
        <v>81</v>
      </c>
      <c r="AM385" t="s">
        <v>81</v>
      </c>
      <c r="AN385">
        <v>4</v>
      </c>
      <c r="AO385">
        <v>3</v>
      </c>
      <c r="AP385">
        <v>2</v>
      </c>
      <c r="AQ385">
        <v>1</v>
      </c>
      <c r="AR385">
        <v>3</v>
      </c>
      <c r="AS385">
        <v>5</v>
      </c>
      <c r="AT385">
        <v>0</v>
      </c>
      <c r="AU385" t="s">
        <v>96</v>
      </c>
      <c r="AV385">
        <v>5</v>
      </c>
      <c r="AW385">
        <v>0</v>
      </c>
    </row>
    <row r="386" spans="16:49" x14ac:dyDescent="0.25">
      <c r="P386">
        <v>385</v>
      </c>
      <c r="Q386" t="s">
        <v>118</v>
      </c>
      <c r="R386" t="s">
        <v>97</v>
      </c>
      <c r="S386">
        <v>18</v>
      </c>
      <c r="T386" t="s">
        <v>107</v>
      </c>
      <c r="U386" t="s">
        <v>71</v>
      </c>
      <c r="V386" t="s">
        <v>83</v>
      </c>
      <c r="W386" t="s">
        <v>73</v>
      </c>
      <c r="X386" t="s">
        <v>90</v>
      </c>
      <c r="Y386" t="s">
        <v>85</v>
      </c>
      <c r="Z386" t="s">
        <v>85</v>
      </c>
      <c r="AA386" t="s">
        <v>92</v>
      </c>
      <c r="AB386" t="s">
        <v>86</v>
      </c>
      <c r="AC386" t="s">
        <v>78</v>
      </c>
      <c r="AD386" t="s">
        <v>104</v>
      </c>
      <c r="AE386">
        <v>1</v>
      </c>
      <c r="AF386" t="s">
        <v>81</v>
      </c>
      <c r="AG386" t="s">
        <v>81</v>
      </c>
      <c r="AH386" t="s">
        <v>80</v>
      </c>
      <c r="AI386" t="s">
        <v>81</v>
      </c>
      <c r="AJ386" t="s">
        <v>80</v>
      </c>
      <c r="AK386" t="s">
        <v>80</v>
      </c>
      <c r="AL386" t="s">
        <v>81</v>
      </c>
      <c r="AM386" t="s">
        <v>81</v>
      </c>
      <c r="AN386">
        <v>5</v>
      </c>
      <c r="AO386">
        <v>4</v>
      </c>
      <c r="AP386">
        <v>3</v>
      </c>
      <c r="AQ386">
        <v>4</v>
      </c>
      <c r="AR386">
        <v>3</v>
      </c>
      <c r="AS386">
        <v>3</v>
      </c>
      <c r="AT386">
        <v>14</v>
      </c>
      <c r="AU386" t="s">
        <v>96</v>
      </c>
      <c r="AV386">
        <v>5</v>
      </c>
      <c r="AW386">
        <v>5</v>
      </c>
    </row>
    <row r="387" spans="16:49" x14ac:dyDescent="0.25">
      <c r="P387">
        <v>386</v>
      </c>
      <c r="Q387" t="s">
        <v>118</v>
      </c>
      <c r="R387" t="s">
        <v>69</v>
      </c>
      <c r="S387">
        <v>18</v>
      </c>
      <c r="T387" t="s">
        <v>107</v>
      </c>
      <c r="U387" t="s">
        <v>71</v>
      </c>
      <c r="V387" t="s">
        <v>83</v>
      </c>
      <c r="W387" t="s">
        <v>90</v>
      </c>
      <c r="X387" t="s">
        <v>90</v>
      </c>
      <c r="Y387" t="s">
        <v>74</v>
      </c>
      <c r="Z387" t="s">
        <v>85</v>
      </c>
      <c r="AA387" t="s">
        <v>85</v>
      </c>
      <c r="AB387" t="s">
        <v>77</v>
      </c>
      <c r="AC387" t="s">
        <v>78</v>
      </c>
      <c r="AD387" t="s">
        <v>93</v>
      </c>
      <c r="AE387">
        <v>0</v>
      </c>
      <c r="AF387" t="s">
        <v>81</v>
      </c>
      <c r="AG387" t="s">
        <v>81</v>
      </c>
      <c r="AH387" t="s">
        <v>80</v>
      </c>
      <c r="AI387" t="s">
        <v>81</v>
      </c>
      <c r="AJ387" t="s">
        <v>80</v>
      </c>
      <c r="AK387" t="s">
        <v>80</v>
      </c>
      <c r="AL387" t="s">
        <v>81</v>
      </c>
      <c r="AM387" t="s">
        <v>81</v>
      </c>
      <c r="AN387">
        <v>5</v>
      </c>
      <c r="AO387">
        <v>3</v>
      </c>
      <c r="AP387">
        <v>3</v>
      </c>
      <c r="AQ387">
        <v>1</v>
      </c>
      <c r="AR387">
        <v>3</v>
      </c>
      <c r="AS387">
        <v>4</v>
      </c>
      <c r="AT387">
        <v>2</v>
      </c>
      <c r="AU387" t="s">
        <v>102</v>
      </c>
      <c r="AV387">
        <v>9</v>
      </c>
      <c r="AW387">
        <v>10</v>
      </c>
    </row>
    <row r="388" spans="16:49" x14ac:dyDescent="0.25">
      <c r="P388">
        <v>387</v>
      </c>
      <c r="Q388" t="s">
        <v>118</v>
      </c>
      <c r="R388" t="s">
        <v>69</v>
      </c>
      <c r="S388">
        <v>18</v>
      </c>
      <c r="T388" t="s">
        <v>107</v>
      </c>
      <c r="U388" t="s">
        <v>71</v>
      </c>
      <c r="V388" t="s">
        <v>83</v>
      </c>
      <c r="W388" t="s">
        <v>73</v>
      </c>
      <c r="X388" t="s">
        <v>73</v>
      </c>
      <c r="Y388" t="s">
        <v>75</v>
      </c>
      <c r="Z388" t="s">
        <v>74</v>
      </c>
      <c r="AA388" t="s">
        <v>98</v>
      </c>
      <c r="AB388" t="s">
        <v>77</v>
      </c>
      <c r="AC388" t="s">
        <v>103</v>
      </c>
      <c r="AD388" t="s">
        <v>104</v>
      </c>
      <c r="AE388">
        <v>0</v>
      </c>
      <c r="AF388" t="s">
        <v>81</v>
      </c>
      <c r="AG388" t="s">
        <v>80</v>
      </c>
      <c r="AH388" t="s">
        <v>80</v>
      </c>
      <c r="AI388" t="s">
        <v>80</v>
      </c>
      <c r="AJ388" t="s">
        <v>80</v>
      </c>
      <c r="AK388" t="s">
        <v>80</v>
      </c>
      <c r="AL388" t="s">
        <v>80</v>
      </c>
      <c r="AM388" t="s">
        <v>80</v>
      </c>
      <c r="AN388">
        <v>4</v>
      </c>
      <c r="AO388">
        <v>4</v>
      </c>
      <c r="AP388">
        <v>3</v>
      </c>
      <c r="AQ388">
        <v>2</v>
      </c>
      <c r="AR388">
        <v>2</v>
      </c>
      <c r="AS388">
        <v>5</v>
      </c>
      <c r="AT388">
        <v>7</v>
      </c>
      <c r="AU388" t="s">
        <v>96</v>
      </c>
      <c r="AV388">
        <v>5</v>
      </c>
      <c r="AW388">
        <v>6</v>
      </c>
    </row>
    <row r="389" spans="16:49" x14ac:dyDescent="0.25">
      <c r="P389">
        <v>388</v>
      </c>
      <c r="Q389" t="s">
        <v>118</v>
      </c>
      <c r="R389" t="s">
        <v>69</v>
      </c>
      <c r="S389">
        <v>19</v>
      </c>
      <c r="T389" t="s">
        <v>107</v>
      </c>
      <c r="U389" t="s">
        <v>71</v>
      </c>
      <c r="V389" t="s">
        <v>83</v>
      </c>
      <c r="W389" t="s">
        <v>90</v>
      </c>
      <c r="X389" t="s">
        <v>95</v>
      </c>
      <c r="Y389" t="s">
        <v>91</v>
      </c>
      <c r="Z389" t="s">
        <v>85</v>
      </c>
      <c r="AA389" t="s">
        <v>76</v>
      </c>
      <c r="AB389" t="s">
        <v>77</v>
      </c>
      <c r="AC389" t="s">
        <v>87</v>
      </c>
      <c r="AD389" t="s">
        <v>93</v>
      </c>
      <c r="AE389">
        <v>1</v>
      </c>
      <c r="AF389" t="s">
        <v>81</v>
      </c>
      <c r="AG389" t="s">
        <v>81</v>
      </c>
      <c r="AH389" t="s">
        <v>81</v>
      </c>
      <c r="AI389" t="s">
        <v>80</v>
      </c>
      <c r="AJ389" t="s">
        <v>81</v>
      </c>
      <c r="AK389" t="s">
        <v>80</v>
      </c>
      <c r="AL389" t="s">
        <v>80</v>
      </c>
      <c r="AM389" t="s">
        <v>81</v>
      </c>
      <c r="AN389">
        <v>5</v>
      </c>
      <c r="AO389">
        <v>4</v>
      </c>
      <c r="AP389">
        <v>2</v>
      </c>
      <c r="AQ389">
        <v>1</v>
      </c>
      <c r="AR389">
        <v>2</v>
      </c>
      <c r="AS389">
        <v>5</v>
      </c>
      <c r="AT389">
        <v>0</v>
      </c>
      <c r="AU389" t="s">
        <v>89</v>
      </c>
      <c r="AV389">
        <v>5</v>
      </c>
      <c r="AW389">
        <v>0</v>
      </c>
    </row>
    <row r="390" spans="16:49" x14ac:dyDescent="0.25">
      <c r="P390">
        <v>389</v>
      </c>
      <c r="Q390" t="s">
        <v>118</v>
      </c>
      <c r="R390" t="s">
        <v>69</v>
      </c>
      <c r="S390">
        <v>18</v>
      </c>
      <c r="T390" t="s">
        <v>70</v>
      </c>
      <c r="U390" t="s">
        <v>88</v>
      </c>
      <c r="V390" t="s">
        <v>83</v>
      </c>
      <c r="W390" t="s">
        <v>95</v>
      </c>
      <c r="X390" t="s">
        <v>84</v>
      </c>
      <c r="Y390" t="s">
        <v>75</v>
      </c>
      <c r="Z390" t="s">
        <v>91</v>
      </c>
      <c r="AA390" t="s">
        <v>76</v>
      </c>
      <c r="AB390" t="s">
        <v>77</v>
      </c>
      <c r="AC390" t="s">
        <v>87</v>
      </c>
      <c r="AD390" t="s">
        <v>79</v>
      </c>
      <c r="AE390">
        <v>0</v>
      </c>
      <c r="AF390" t="s">
        <v>81</v>
      </c>
      <c r="AG390" t="s">
        <v>80</v>
      </c>
      <c r="AH390" t="s">
        <v>80</v>
      </c>
      <c r="AI390" t="s">
        <v>81</v>
      </c>
      <c r="AJ390" t="s">
        <v>80</v>
      </c>
      <c r="AK390" t="s">
        <v>80</v>
      </c>
      <c r="AL390" t="s">
        <v>80</v>
      </c>
      <c r="AM390" t="s">
        <v>81</v>
      </c>
      <c r="AN390">
        <v>4</v>
      </c>
      <c r="AO390">
        <v>3</v>
      </c>
      <c r="AP390">
        <v>4</v>
      </c>
      <c r="AQ390">
        <v>1</v>
      </c>
      <c r="AR390">
        <v>1</v>
      </c>
      <c r="AS390">
        <v>1</v>
      </c>
      <c r="AT390">
        <v>0</v>
      </c>
      <c r="AU390" t="s">
        <v>89</v>
      </c>
      <c r="AV390">
        <v>9</v>
      </c>
      <c r="AW390">
        <v>8</v>
      </c>
    </row>
    <row r="391" spans="16:49" x14ac:dyDescent="0.25">
      <c r="P391">
        <v>390</v>
      </c>
      <c r="Q391" t="s">
        <v>118</v>
      </c>
      <c r="R391" t="s">
        <v>69</v>
      </c>
      <c r="S391">
        <v>18</v>
      </c>
      <c r="T391" t="s">
        <v>70</v>
      </c>
      <c r="U391" t="s">
        <v>71</v>
      </c>
      <c r="V391" t="s">
        <v>83</v>
      </c>
      <c r="W391" t="s">
        <v>84</v>
      </c>
      <c r="X391" t="s">
        <v>84</v>
      </c>
      <c r="Y391" t="s">
        <v>85</v>
      </c>
      <c r="Z391" t="s">
        <v>85</v>
      </c>
      <c r="AA391" t="s">
        <v>76</v>
      </c>
      <c r="AB391" t="s">
        <v>77</v>
      </c>
      <c r="AC391" t="s">
        <v>78</v>
      </c>
      <c r="AD391" t="s">
        <v>79</v>
      </c>
      <c r="AE391">
        <v>1</v>
      </c>
      <c r="AF391" t="s">
        <v>81</v>
      </c>
      <c r="AG391" t="s">
        <v>81</v>
      </c>
      <c r="AH391" t="s">
        <v>81</v>
      </c>
      <c r="AI391" t="s">
        <v>80</v>
      </c>
      <c r="AJ391" t="s">
        <v>80</v>
      </c>
      <c r="AK391" t="s">
        <v>80</v>
      </c>
      <c r="AL391" t="s">
        <v>81</v>
      </c>
      <c r="AM391" t="s">
        <v>81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5</v>
      </c>
      <c r="AT391">
        <v>0</v>
      </c>
      <c r="AU391" t="s">
        <v>96</v>
      </c>
      <c r="AV391">
        <v>5</v>
      </c>
      <c r="AW391">
        <v>0</v>
      </c>
    </row>
    <row r="392" spans="16:49" x14ac:dyDescent="0.25">
      <c r="P392">
        <v>391</v>
      </c>
      <c r="Q392" t="s">
        <v>118</v>
      </c>
      <c r="R392" t="s">
        <v>97</v>
      </c>
      <c r="S392">
        <v>20</v>
      </c>
      <c r="T392" t="s">
        <v>70</v>
      </c>
      <c r="U392" t="s">
        <v>88</v>
      </c>
      <c r="V392" t="s">
        <v>72</v>
      </c>
      <c r="W392" t="s">
        <v>90</v>
      </c>
      <c r="X392" t="s">
        <v>90</v>
      </c>
      <c r="Y392" t="s">
        <v>91</v>
      </c>
      <c r="Z392" t="s">
        <v>91</v>
      </c>
      <c r="AA392" t="s">
        <v>76</v>
      </c>
      <c r="AB392" t="s">
        <v>85</v>
      </c>
      <c r="AC392" t="s">
        <v>87</v>
      </c>
      <c r="AD392" t="s">
        <v>79</v>
      </c>
      <c r="AE392">
        <v>2</v>
      </c>
      <c r="AF392" t="s">
        <v>81</v>
      </c>
      <c r="AG392" t="s">
        <v>80</v>
      </c>
      <c r="AH392" t="s">
        <v>80</v>
      </c>
      <c r="AI392" t="s">
        <v>81</v>
      </c>
      <c r="AJ392" t="s">
        <v>80</v>
      </c>
      <c r="AK392" t="s">
        <v>80</v>
      </c>
      <c r="AL392" t="s">
        <v>81</v>
      </c>
      <c r="AM392" t="s">
        <v>81</v>
      </c>
      <c r="AN392">
        <v>5</v>
      </c>
      <c r="AO392">
        <v>5</v>
      </c>
      <c r="AP392">
        <v>4</v>
      </c>
      <c r="AQ392">
        <v>4</v>
      </c>
      <c r="AR392">
        <v>5</v>
      </c>
      <c r="AS392">
        <v>4</v>
      </c>
      <c r="AT392">
        <v>11</v>
      </c>
      <c r="AU392" t="s">
        <v>109</v>
      </c>
      <c r="AV392">
        <v>9</v>
      </c>
      <c r="AW392">
        <v>9</v>
      </c>
    </row>
    <row r="393" spans="16:49" x14ac:dyDescent="0.25">
      <c r="P393">
        <v>392</v>
      </c>
      <c r="Q393" t="s">
        <v>118</v>
      </c>
      <c r="R393" t="s">
        <v>97</v>
      </c>
      <c r="S393">
        <v>17</v>
      </c>
      <c r="T393" t="s">
        <v>70</v>
      </c>
      <c r="U393" t="s">
        <v>88</v>
      </c>
      <c r="V393" t="s">
        <v>83</v>
      </c>
      <c r="W393" t="s">
        <v>95</v>
      </c>
      <c r="X393" t="s">
        <v>84</v>
      </c>
      <c r="Y393" t="s">
        <v>91</v>
      </c>
      <c r="Z393" t="s">
        <v>91</v>
      </c>
      <c r="AA393" t="s">
        <v>76</v>
      </c>
      <c r="AB393" t="s">
        <v>77</v>
      </c>
      <c r="AC393" t="s">
        <v>78</v>
      </c>
      <c r="AD393" t="s">
        <v>104</v>
      </c>
      <c r="AE393">
        <v>0</v>
      </c>
      <c r="AF393" t="s">
        <v>81</v>
      </c>
      <c r="AG393" t="s">
        <v>81</v>
      </c>
      <c r="AH393" t="s">
        <v>81</v>
      </c>
      <c r="AI393" t="s">
        <v>81</v>
      </c>
      <c r="AJ393" t="s">
        <v>81</v>
      </c>
      <c r="AK393" t="s">
        <v>80</v>
      </c>
      <c r="AL393" t="s">
        <v>80</v>
      </c>
      <c r="AM393" t="s">
        <v>81</v>
      </c>
      <c r="AN393">
        <v>2</v>
      </c>
      <c r="AO393">
        <v>4</v>
      </c>
      <c r="AP393">
        <v>5</v>
      </c>
      <c r="AQ393">
        <v>3</v>
      </c>
      <c r="AR393">
        <v>4</v>
      </c>
      <c r="AS393">
        <v>2</v>
      </c>
      <c r="AT393">
        <v>3</v>
      </c>
      <c r="AU393" t="s">
        <v>101</v>
      </c>
      <c r="AV393">
        <v>16</v>
      </c>
      <c r="AW393">
        <v>16</v>
      </c>
    </row>
    <row r="394" spans="16:49" x14ac:dyDescent="0.25">
      <c r="P394">
        <v>393</v>
      </c>
      <c r="Q394" t="s">
        <v>118</v>
      </c>
      <c r="R394" t="s">
        <v>97</v>
      </c>
      <c r="S394">
        <v>21</v>
      </c>
      <c r="T394" t="s">
        <v>107</v>
      </c>
      <c r="U394" t="s">
        <v>71</v>
      </c>
      <c r="V394" t="s">
        <v>83</v>
      </c>
      <c r="W394" t="s">
        <v>84</v>
      </c>
      <c r="X394" t="s">
        <v>84</v>
      </c>
      <c r="Y394" t="s">
        <v>85</v>
      </c>
      <c r="Z394" t="s">
        <v>85</v>
      </c>
      <c r="AA394" t="s">
        <v>76</v>
      </c>
      <c r="AB394" t="s">
        <v>85</v>
      </c>
      <c r="AC394" t="s">
        <v>87</v>
      </c>
      <c r="AD394" t="s">
        <v>104</v>
      </c>
      <c r="AE394">
        <v>3</v>
      </c>
      <c r="AF394" t="s">
        <v>81</v>
      </c>
      <c r="AG394" t="s">
        <v>81</v>
      </c>
      <c r="AH394" t="s">
        <v>81</v>
      </c>
      <c r="AI394" t="s">
        <v>81</v>
      </c>
      <c r="AJ394" t="s">
        <v>81</v>
      </c>
      <c r="AK394" t="s">
        <v>80</v>
      </c>
      <c r="AL394" t="s">
        <v>81</v>
      </c>
      <c r="AM394" t="s">
        <v>81</v>
      </c>
      <c r="AN394">
        <v>5</v>
      </c>
      <c r="AO394">
        <v>5</v>
      </c>
      <c r="AP394">
        <v>3</v>
      </c>
      <c r="AQ394">
        <v>3</v>
      </c>
      <c r="AR394">
        <v>3</v>
      </c>
      <c r="AS394">
        <v>3</v>
      </c>
      <c r="AT394">
        <v>3</v>
      </c>
      <c r="AU394" t="s">
        <v>102</v>
      </c>
      <c r="AV394">
        <v>8</v>
      </c>
      <c r="AW394">
        <v>7</v>
      </c>
    </row>
    <row r="395" spans="16:49" x14ac:dyDescent="0.25">
      <c r="P395">
        <v>394</v>
      </c>
      <c r="Q395" t="s">
        <v>118</v>
      </c>
      <c r="R395" t="s">
        <v>97</v>
      </c>
      <c r="S395">
        <v>18</v>
      </c>
      <c r="T395" t="s">
        <v>107</v>
      </c>
      <c r="U395" t="s">
        <v>88</v>
      </c>
      <c r="V395" t="s">
        <v>83</v>
      </c>
      <c r="W395" t="s">
        <v>95</v>
      </c>
      <c r="X395" t="s">
        <v>90</v>
      </c>
      <c r="Y395" t="s">
        <v>91</v>
      </c>
      <c r="Z395" t="s">
        <v>85</v>
      </c>
      <c r="AA395" t="s">
        <v>76</v>
      </c>
      <c r="AB395" t="s">
        <v>77</v>
      </c>
      <c r="AC395" t="s">
        <v>103</v>
      </c>
      <c r="AD395" t="s">
        <v>104</v>
      </c>
      <c r="AE395">
        <v>0</v>
      </c>
      <c r="AF395" t="s">
        <v>81</v>
      </c>
      <c r="AG395" t="s">
        <v>81</v>
      </c>
      <c r="AH395" t="s">
        <v>81</v>
      </c>
      <c r="AI395" t="s">
        <v>81</v>
      </c>
      <c r="AJ395" t="s">
        <v>81</v>
      </c>
      <c r="AK395" t="s">
        <v>80</v>
      </c>
      <c r="AL395" t="s">
        <v>80</v>
      </c>
      <c r="AM395" t="s">
        <v>81</v>
      </c>
      <c r="AN395">
        <v>4</v>
      </c>
      <c r="AO395">
        <v>4</v>
      </c>
      <c r="AP395">
        <v>1</v>
      </c>
      <c r="AQ395">
        <v>3</v>
      </c>
      <c r="AR395">
        <v>4</v>
      </c>
      <c r="AS395">
        <v>5</v>
      </c>
      <c r="AT395">
        <v>0</v>
      </c>
      <c r="AU395" t="s">
        <v>108</v>
      </c>
      <c r="AV395">
        <v>12</v>
      </c>
      <c r="AW395">
        <v>10</v>
      </c>
    </row>
    <row r="396" spans="16:49" x14ac:dyDescent="0.25">
      <c r="P396">
        <v>395</v>
      </c>
      <c r="Q396" t="s">
        <v>118</v>
      </c>
      <c r="R396" t="s">
        <v>97</v>
      </c>
      <c r="S396">
        <v>19</v>
      </c>
      <c r="T396" t="s">
        <v>70</v>
      </c>
      <c r="U396" t="s">
        <v>88</v>
      </c>
      <c r="V396" t="s">
        <v>83</v>
      </c>
      <c r="W396" t="s">
        <v>84</v>
      </c>
      <c r="X396" t="s">
        <v>84</v>
      </c>
      <c r="Y396" t="s">
        <v>85</v>
      </c>
      <c r="Z396" t="s">
        <v>74</v>
      </c>
      <c r="AA396" t="s">
        <v>76</v>
      </c>
      <c r="AB396" t="s">
        <v>86</v>
      </c>
      <c r="AC396" t="s">
        <v>87</v>
      </c>
      <c r="AD396" t="s">
        <v>104</v>
      </c>
      <c r="AE396">
        <v>0</v>
      </c>
      <c r="AF396" t="s">
        <v>81</v>
      </c>
      <c r="AG396" t="s">
        <v>81</v>
      </c>
      <c r="AH396" t="s">
        <v>81</v>
      </c>
      <c r="AI396" t="s">
        <v>81</v>
      </c>
      <c r="AJ396" t="s">
        <v>80</v>
      </c>
      <c r="AK396" t="s">
        <v>80</v>
      </c>
      <c r="AL396" t="s">
        <v>80</v>
      </c>
      <c r="AM396" t="s">
        <v>81</v>
      </c>
      <c r="AN396">
        <v>3</v>
      </c>
      <c r="AO396">
        <v>2</v>
      </c>
      <c r="AP396">
        <v>3</v>
      </c>
      <c r="AQ396">
        <v>3</v>
      </c>
      <c r="AR396">
        <v>3</v>
      </c>
      <c r="AS396">
        <v>5</v>
      </c>
      <c r="AT396">
        <v>5</v>
      </c>
      <c r="AU396" t="s">
        <v>106</v>
      </c>
      <c r="AV396">
        <v>9</v>
      </c>
      <c r="AW396">
        <v>9</v>
      </c>
    </row>
  </sheetData>
  <phoneticPr fontId="1" type="noConversion"/>
  <dataValidations count="3">
    <dataValidation type="whole" allowBlank="1" showInputMessage="1" showErrorMessage="1" errorTitle="Error !!" error="Not a Valid Phone Number !!" promptTitle="Info :" prompt="Should contains 10 digits " sqref="M4" xr:uid="{83B48074-FE59-4484-BD36-CDC86EFED4F0}">
      <formula1>1000000000</formula1>
      <formula2>9999999999</formula2>
    </dataValidation>
    <dataValidation type="whole" errorStyle="information" operator="greaterThan" allowBlank="1" showInputMessage="1" showErrorMessage="1" errorTitle="Age Info:" error="User is a Minor .._x000a_" sqref="M5" xr:uid="{5451E911-785D-4014-81A6-127CB1C53F05}">
      <formula1>17</formula1>
    </dataValidation>
    <dataValidation type="list" allowBlank="1" showInputMessage="1" showErrorMessage="1" sqref="BM2" xr:uid="{EDDE2C43-9B71-44FB-B3AD-AE3FECAD50DB}">
      <formula1>$BE$2:$BI$2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K M. 23BEO006</dc:creator>
  <cp:lastModifiedBy>Kritika K M. 23BEO006</cp:lastModifiedBy>
  <dcterms:created xsi:type="dcterms:W3CDTF">2026-01-07T14:42:48Z</dcterms:created>
  <dcterms:modified xsi:type="dcterms:W3CDTF">2026-01-07T18:02:54Z</dcterms:modified>
</cp:coreProperties>
</file>