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 Work\EXCEL - EDGE PLUS\"/>
    </mc:Choice>
  </mc:AlternateContent>
  <xr:revisionPtr revIDLastSave="0" documentId="8_{1785861E-0B02-4D09-8CCB-B6FD7618834A}" xr6:coauthVersionLast="47" xr6:coauthVersionMax="47" xr10:uidLastSave="{00000000-0000-0000-0000-000000000000}"/>
  <bookViews>
    <workbookView xWindow="-120" yWindow="-120" windowWidth="20730" windowHeight="11040" xr2:uid="{CADCCE5A-8DAB-4784-9F5B-74ED665BB158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G11" i="1"/>
  <c r="H11" i="1" s="1"/>
  <c r="F11" i="1"/>
  <c r="F10" i="1"/>
  <c r="G10" i="1" s="1"/>
  <c r="H10" i="1" s="1"/>
  <c r="F9" i="1"/>
  <c r="G9" i="1" s="1"/>
  <c r="H9" i="1" s="1"/>
  <c r="F8" i="1"/>
  <c r="G8" i="1" s="1"/>
  <c r="H8" i="1" s="1"/>
  <c r="G7" i="1"/>
  <c r="H7" i="1" s="1"/>
  <c r="F7" i="1"/>
  <c r="H12" i="1" l="1"/>
  <c r="H13" i="1" l="1"/>
  <c r="H14" i="1"/>
</calcChain>
</file>

<file path=xl/sharedStrings.xml><?xml version="1.0" encoding="utf-8"?>
<sst xmlns="http://schemas.openxmlformats.org/spreadsheetml/2006/main" count="33" uniqueCount="32">
  <si>
    <t xml:space="preserve">INVOICE - RELIANCE MARKET </t>
  </si>
  <si>
    <t>Bill No.:</t>
  </si>
  <si>
    <t>Date:</t>
  </si>
  <si>
    <t>Time:</t>
  </si>
  <si>
    <t>Cashier:</t>
  </si>
  <si>
    <t>Kritika</t>
  </si>
  <si>
    <t>Courrier:</t>
  </si>
  <si>
    <t>Counter No:</t>
  </si>
  <si>
    <t>S.No</t>
  </si>
  <si>
    <t xml:space="preserve">Item Name </t>
  </si>
  <si>
    <t>Qty</t>
  </si>
  <si>
    <t>MRP</t>
  </si>
  <si>
    <t>Discount</t>
  </si>
  <si>
    <t>Disc-amt</t>
  </si>
  <si>
    <t>Rate</t>
  </si>
  <si>
    <t>Amount</t>
  </si>
  <si>
    <t xml:space="preserve">Bottle </t>
  </si>
  <si>
    <t>Bag</t>
  </si>
  <si>
    <t>Books</t>
  </si>
  <si>
    <t>Pencil Box</t>
  </si>
  <si>
    <t>Colors</t>
  </si>
  <si>
    <t>Total Amount</t>
  </si>
  <si>
    <t>GST (5%)</t>
  </si>
  <si>
    <t>Final Amount</t>
  </si>
  <si>
    <t>Amount Saved</t>
  </si>
  <si>
    <t xml:space="preserve">Points Earned </t>
  </si>
  <si>
    <t>50 Points</t>
  </si>
  <si>
    <t xml:space="preserve">Coupon Earned </t>
  </si>
  <si>
    <t>IEUPNGB20</t>
  </si>
  <si>
    <t xml:space="preserve">Payment Mode </t>
  </si>
  <si>
    <t>CASH</t>
  </si>
  <si>
    <t>Thank You ! Visit Again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</si>
</sst>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5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6" xfId="0" applyBorder="1"/>
    <xf numFmtId="18" fontId="0" fillId="0" borderId="6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/>
    <xf numFmtId="0" fontId="1" fillId="4" borderId="5" xfId="0" applyFont="1" applyFill="1" applyBorder="1" applyAlignment="1">
      <alignment horizontal="center"/>
    </xf>
    <xf numFmtId="0" fontId="0" fillId="5" borderId="5" xfId="0" applyFill="1" applyBorder="1" applyAlignment="1">
      <alignment horizontal="right"/>
    </xf>
    <xf numFmtId="0" fontId="0" fillId="5" borderId="5" xfId="0" applyFill="1" applyBorder="1" applyAlignment="1">
      <alignment horizontal="left"/>
    </xf>
    <xf numFmtId="9" fontId="0" fillId="5" borderId="5" xfId="0" applyNumberFormat="1" applyFill="1" applyBorder="1" applyAlignment="1">
      <alignment horizontal="left"/>
    </xf>
    <xf numFmtId="2" fontId="0" fillId="5" borderId="5" xfId="0" applyNumberFormat="1" applyFill="1" applyBorder="1" applyAlignment="1">
      <alignment horizontal="left"/>
    </xf>
    <xf numFmtId="0" fontId="1" fillId="6" borderId="5" xfId="0" applyFont="1" applyFill="1" applyBorder="1"/>
    <xf numFmtId="0" fontId="1" fillId="6" borderId="5" xfId="0" applyFont="1" applyFill="1" applyBorder="1" applyAlignment="1">
      <alignment horizontal="left"/>
    </xf>
    <xf numFmtId="0" fontId="1" fillId="0" borderId="5" xfId="0" applyFont="1" applyBorder="1"/>
    <xf numFmtId="2" fontId="0" fillId="0" borderId="5" xfId="0" applyNumberFormat="1" applyBorder="1" applyAlignment="1">
      <alignment horizontal="left"/>
    </xf>
    <xf numFmtId="2" fontId="1" fillId="6" borderId="5" xfId="0" applyNumberFormat="1" applyFont="1" applyFill="1" applyBorder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1" fillId="7" borderId="5" xfId="0" applyFont="1" applyFill="1" applyBorder="1"/>
    <xf numFmtId="2" fontId="1" fillId="7" borderId="5" xfId="0" applyNumberFormat="1" applyFont="1" applyFill="1" applyBorder="1" applyAlignment="1">
      <alignment horizontal="left"/>
    </xf>
    <xf numFmtId="0" fontId="0" fillId="3" borderId="5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13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26C1-54FA-4AEB-B88B-1468EA6394BD}">
  <dimension ref="A1:H21"/>
  <sheetViews>
    <sheetView tabSelected="1" workbookViewId="0">
      <selection activeCell="I10" sqref="I10"/>
    </sheetView>
  </sheetViews>
  <sheetFormatPr defaultRowHeight="15" x14ac:dyDescent="0.25"/>
  <cols>
    <col min="2" max="2" width="18.140625" customWidth="1"/>
    <col min="4" max="4" width="10.85546875" customWidth="1"/>
    <col min="5" max="5" width="10.42578125" bestFit="1" customWidth="1"/>
    <col min="6" max="6" width="10.42578125" customWidth="1"/>
    <col min="7" max="7" width="13" customWidth="1"/>
    <col min="8" max="8" width="9.140625" customWidth="1"/>
  </cols>
  <sheetData>
    <row r="1" spans="1:8" ht="15.75" thickBot="1" x14ac:dyDescent="0.3">
      <c r="A1" s="1" t="s">
        <v>0</v>
      </c>
      <c r="B1" s="2"/>
      <c r="C1" s="2"/>
      <c r="D1" s="2"/>
      <c r="E1" s="2"/>
      <c r="F1" s="3"/>
      <c r="G1" s="2"/>
      <c r="H1" s="4"/>
    </row>
    <row r="2" spans="1:8" x14ac:dyDescent="0.25">
      <c r="A2" s="5" t="s">
        <v>1</v>
      </c>
      <c r="B2" s="6">
        <v>1026894</v>
      </c>
      <c r="F2" s="5" t="s">
        <v>2</v>
      </c>
      <c r="G2" s="7">
        <v>46027</v>
      </c>
      <c r="H2" s="8"/>
    </row>
    <row r="3" spans="1:8" x14ac:dyDescent="0.25">
      <c r="A3" s="5" t="s">
        <v>3</v>
      </c>
      <c r="B3" s="9">
        <v>0.625</v>
      </c>
      <c r="F3" s="5" t="s">
        <v>4</v>
      </c>
      <c r="G3" t="s">
        <v>5</v>
      </c>
      <c r="H3" s="8"/>
    </row>
    <row r="4" spans="1:8" ht="15.75" thickBot="1" x14ac:dyDescent="0.3">
      <c r="A4" s="5" t="s">
        <v>6</v>
      </c>
      <c r="B4" s="10" t="s">
        <v>5</v>
      </c>
      <c r="F4" s="5" t="s">
        <v>7</v>
      </c>
      <c r="G4" s="11">
        <v>7</v>
      </c>
      <c r="H4" s="12"/>
    </row>
    <row r="6" spans="1:8" x14ac:dyDescent="0.25">
      <c r="A6" s="13" t="s">
        <v>8</v>
      </c>
      <c r="B6" s="13" t="s">
        <v>9</v>
      </c>
      <c r="C6" s="13" t="s">
        <v>10</v>
      </c>
      <c r="D6" s="13" t="s">
        <v>11</v>
      </c>
      <c r="E6" s="13" t="s">
        <v>12</v>
      </c>
      <c r="F6" s="13" t="s">
        <v>13</v>
      </c>
      <c r="G6" s="13" t="s">
        <v>14</v>
      </c>
      <c r="H6" s="13" t="s">
        <v>15</v>
      </c>
    </row>
    <row r="7" spans="1:8" x14ac:dyDescent="0.25">
      <c r="A7" s="14">
        <v>1</v>
      </c>
      <c r="B7" s="15" t="s">
        <v>16</v>
      </c>
      <c r="C7" s="15">
        <v>2</v>
      </c>
      <c r="D7" s="15">
        <v>120</v>
      </c>
      <c r="E7" s="16">
        <v>0</v>
      </c>
      <c r="F7" s="17">
        <f>D7*E7</f>
        <v>0</v>
      </c>
      <c r="G7" s="17">
        <f>D7-F7</f>
        <v>120</v>
      </c>
      <c r="H7" s="15">
        <f>G7*C7</f>
        <v>240</v>
      </c>
    </row>
    <row r="8" spans="1:8" x14ac:dyDescent="0.25">
      <c r="A8" s="14">
        <v>2</v>
      </c>
      <c r="B8" s="15" t="s">
        <v>17</v>
      </c>
      <c r="C8" s="15">
        <v>1</v>
      </c>
      <c r="D8" s="15">
        <v>850</v>
      </c>
      <c r="E8" s="16">
        <v>0.1</v>
      </c>
      <c r="F8" s="17">
        <f t="shared" ref="F8:F11" si="0">D8*E8</f>
        <v>85</v>
      </c>
      <c r="G8" s="17">
        <f t="shared" ref="G8:G11" si="1">D8-F8</f>
        <v>765</v>
      </c>
      <c r="H8" s="15">
        <f>G8*C8</f>
        <v>765</v>
      </c>
    </row>
    <row r="9" spans="1:8" x14ac:dyDescent="0.25">
      <c r="A9" s="14">
        <v>3</v>
      </c>
      <c r="B9" s="15" t="s">
        <v>18</v>
      </c>
      <c r="C9" s="15">
        <v>10</v>
      </c>
      <c r="D9" s="15">
        <v>75</v>
      </c>
      <c r="E9" s="16">
        <v>0</v>
      </c>
      <c r="F9" s="17">
        <f t="shared" si="0"/>
        <v>0</v>
      </c>
      <c r="G9" s="17">
        <f t="shared" si="1"/>
        <v>75</v>
      </c>
      <c r="H9" s="15">
        <f>G9*C9</f>
        <v>750</v>
      </c>
    </row>
    <row r="10" spans="1:8" x14ac:dyDescent="0.25">
      <c r="A10" s="14">
        <v>4</v>
      </c>
      <c r="B10" s="15" t="s">
        <v>19</v>
      </c>
      <c r="C10" s="15">
        <v>5</v>
      </c>
      <c r="D10" s="15">
        <v>50</v>
      </c>
      <c r="E10" s="16">
        <v>0.05</v>
      </c>
      <c r="F10" s="17">
        <f t="shared" si="0"/>
        <v>2.5</v>
      </c>
      <c r="G10" s="17">
        <f t="shared" si="1"/>
        <v>47.5</v>
      </c>
      <c r="H10" s="15">
        <f>G10*C10</f>
        <v>237.5</v>
      </c>
    </row>
    <row r="11" spans="1:8" x14ac:dyDescent="0.25">
      <c r="A11" s="14">
        <v>5</v>
      </c>
      <c r="B11" s="15" t="s">
        <v>20</v>
      </c>
      <c r="C11" s="15">
        <v>8</v>
      </c>
      <c r="D11" s="15">
        <v>20</v>
      </c>
      <c r="E11" s="16">
        <v>0.02</v>
      </c>
      <c r="F11" s="17">
        <f t="shared" si="0"/>
        <v>0.4</v>
      </c>
      <c r="G11" s="17">
        <f t="shared" si="1"/>
        <v>19.600000000000001</v>
      </c>
      <c r="H11" s="15">
        <f>G11*C11</f>
        <v>156.80000000000001</v>
      </c>
    </row>
    <row r="12" spans="1:8" x14ac:dyDescent="0.25">
      <c r="G12" s="18" t="s">
        <v>21</v>
      </c>
      <c r="H12" s="19">
        <f>SUM(H7:H11)</f>
        <v>2149.3000000000002</v>
      </c>
    </row>
    <row r="13" spans="1:8" x14ac:dyDescent="0.25">
      <c r="G13" s="20" t="s">
        <v>22</v>
      </c>
      <c r="H13" s="21">
        <f>H12*0.05</f>
        <v>107.46500000000002</v>
      </c>
    </row>
    <row r="14" spans="1:8" x14ac:dyDescent="0.25">
      <c r="G14" s="18" t="s">
        <v>23</v>
      </c>
      <c r="H14" s="22">
        <f>H12-H13</f>
        <v>2041.8350000000003</v>
      </c>
    </row>
    <row r="15" spans="1:8" x14ac:dyDescent="0.25">
      <c r="G15" s="23"/>
      <c r="H15" s="24"/>
    </row>
    <row r="16" spans="1:8" x14ac:dyDescent="0.25">
      <c r="G16" s="25" t="s">
        <v>24</v>
      </c>
      <c r="H16" s="26">
        <f>SUM(F7:F11)</f>
        <v>87.9</v>
      </c>
    </row>
    <row r="17" spans="1:8" ht="15.75" thickBot="1" x14ac:dyDescent="0.3"/>
    <row r="18" spans="1:8" x14ac:dyDescent="0.25">
      <c r="A18" s="27" t="s">
        <v>25</v>
      </c>
      <c r="B18" s="27"/>
      <c r="C18" s="28"/>
      <c r="D18" s="29" t="s">
        <v>26</v>
      </c>
    </row>
    <row r="19" spans="1:8" x14ac:dyDescent="0.25">
      <c r="A19" s="27" t="s">
        <v>27</v>
      </c>
      <c r="B19" s="27"/>
      <c r="C19" s="28"/>
      <c r="D19" s="30" t="s">
        <v>28</v>
      </c>
    </row>
    <row r="20" spans="1:8" ht="15.75" thickBot="1" x14ac:dyDescent="0.3">
      <c r="A20" s="27" t="s">
        <v>29</v>
      </c>
      <c r="B20" s="27"/>
      <c r="C20" s="28"/>
      <c r="D20" s="31" t="s">
        <v>30</v>
      </c>
    </row>
    <row r="21" spans="1:8" ht="15.75" thickBot="1" x14ac:dyDescent="0.3">
      <c r="A21" s="32" t="s">
        <v>31</v>
      </c>
      <c r="B21" s="33"/>
      <c r="C21" s="33"/>
      <c r="D21" s="33"/>
      <c r="E21" s="2"/>
      <c r="F21" s="2"/>
      <c r="G21" s="2"/>
      <c r="H21" s="4"/>
    </row>
  </sheetData>
  <mergeCells count="5">
    <mergeCell ref="A1:H1"/>
    <mergeCell ref="A18:C18"/>
    <mergeCell ref="A19:C19"/>
    <mergeCell ref="A20:C20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K M. 23BEO006</dc:creator>
  <cp:lastModifiedBy>Kritika K M. 23BEO006</cp:lastModifiedBy>
  <dcterms:created xsi:type="dcterms:W3CDTF">2026-01-07T18:00:14Z</dcterms:created>
  <dcterms:modified xsi:type="dcterms:W3CDTF">2026-01-07T18:01:04Z</dcterms:modified>
</cp:coreProperties>
</file>